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5.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6.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7.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8.xml" ContentType="application/vnd.openxmlformats-officedocument.themeOverrid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9.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Users/smaya/Documents/GitHub/GRAM/gram_analysis/2025_Jul_paper2_testingstrategies/sim_results/"/>
    </mc:Choice>
  </mc:AlternateContent>
  <xr:revisionPtr revIDLastSave="0" documentId="13_ncr:1_{97E86123-A050-C04B-AD2F-E93B9FA98100}" xr6:coauthVersionLast="47" xr6:coauthVersionMax="47" xr10:uidLastSave="{00000000-0000-0000-0000-000000000000}"/>
  <bookViews>
    <workbookView xWindow="0" yWindow="500" windowWidth="51200" windowHeight="28300" xr2:uid="{BACA357A-4B12-A040-BCAB-31D8550BBBC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3" i="1" l="1"/>
  <c r="AB24" i="1"/>
  <c r="AB26" i="1"/>
  <c r="AB27" i="1"/>
  <c r="AB28" i="1"/>
  <c r="AB30" i="1"/>
  <c r="AB31" i="1"/>
  <c r="AB32" i="1"/>
  <c r="AB22" i="1"/>
  <c r="Z28" i="1"/>
  <c r="Z27" i="1"/>
  <c r="Z26" i="1"/>
  <c r="Z23" i="1"/>
  <c r="Z24" i="1"/>
  <c r="Z22" i="1"/>
  <c r="Z30" i="1"/>
  <c r="Z31" i="1"/>
  <c r="Z32" i="1"/>
  <c r="X23" i="1"/>
  <c r="X24" i="1"/>
  <c r="X26" i="1"/>
  <c r="X27" i="1"/>
  <c r="X28" i="1"/>
  <c r="X30" i="1"/>
  <c r="X31" i="1"/>
  <c r="X32" i="1"/>
  <c r="X22" i="1"/>
  <c r="I14" i="1"/>
  <c r="K14" i="1" s="1"/>
  <c r="I13" i="1"/>
  <c r="K13" i="1" s="1"/>
  <c r="I12" i="1"/>
  <c r="O12" i="1" s="1"/>
  <c r="H10" i="1"/>
  <c r="I9" i="1" s="1"/>
  <c r="O9" i="1" s="1"/>
  <c r="H9" i="1"/>
  <c r="H8" i="1"/>
  <c r="H14" i="1"/>
  <c r="H13" i="1"/>
  <c r="H12" i="1"/>
  <c r="H4" i="1"/>
  <c r="H5" i="1"/>
  <c r="H6" i="1"/>
  <c r="I5" i="1" s="1"/>
  <c r="K5" i="1" s="1"/>
  <c r="P12" i="1" l="1"/>
  <c r="N12" i="1"/>
  <c r="M12" i="1"/>
  <c r="I4" i="1"/>
  <c r="L4" i="1" s="1"/>
  <c r="O14" i="1"/>
  <c r="I6" i="1"/>
  <c r="M6" i="1" s="1"/>
  <c r="N14" i="1"/>
  <c r="M14" i="1"/>
  <c r="Q14" i="1" s="1"/>
  <c r="I8" i="1"/>
  <c r="P13" i="1"/>
  <c r="I10" i="1"/>
  <c r="K10" i="1" s="1"/>
  <c r="L12" i="1"/>
  <c r="O13" i="1"/>
  <c r="K12" i="1"/>
  <c r="N13" i="1"/>
  <c r="M13" i="1"/>
  <c r="P14" i="1"/>
  <c r="L13" i="1"/>
  <c r="P5" i="1"/>
  <c r="L9" i="1"/>
  <c r="N9" i="1"/>
  <c r="O10" i="1"/>
  <c r="M9" i="1"/>
  <c r="K9" i="1"/>
  <c r="O5" i="1"/>
  <c r="O4" i="1"/>
  <c r="N5" i="1"/>
  <c r="N4" i="1"/>
  <c r="M5" i="1"/>
  <c r="P9" i="1"/>
  <c r="L14" i="1"/>
  <c r="L5" i="1"/>
  <c r="P4" i="1" l="1"/>
  <c r="K6" i="1"/>
  <c r="M4" i="1"/>
  <c r="K4" i="1"/>
  <c r="O6" i="1"/>
  <c r="L6" i="1"/>
  <c r="M10" i="1"/>
  <c r="Q10" i="1" s="1"/>
  <c r="N10" i="1"/>
  <c r="N6" i="1"/>
  <c r="P6" i="1"/>
  <c r="P10" i="1"/>
  <c r="M8" i="1"/>
  <c r="O8" i="1"/>
  <c r="P8" i="1"/>
  <c r="N8" i="1"/>
  <c r="L10" i="1"/>
  <c r="K8" i="1"/>
  <c r="L8" i="1"/>
  <c r="Q9" i="1"/>
  <c r="Q12" i="1"/>
  <c r="Q13" i="1"/>
  <c r="Q5" i="1"/>
  <c r="Q4" i="1"/>
  <c r="Q6" i="1" l="1"/>
  <c r="Q8" i="1"/>
</calcChain>
</file>

<file path=xl/sharedStrings.xml><?xml version="1.0" encoding="utf-8"?>
<sst xmlns="http://schemas.openxmlformats.org/spreadsheetml/2006/main" count="45" uniqueCount="26">
  <si>
    <t>Strategy</t>
  </si>
  <si>
    <t>sum tested</t>
  </si>
  <si>
    <t>Scaled to 1000</t>
  </si>
  <si>
    <t>TN No Test</t>
  </si>
  <si>
    <t>FN No Test</t>
  </si>
  <si>
    <t>TP</t>
  </si>
  <si>
    <t>FN</t>
  </si>
  <si>
    <t>TN</t>
  </si>
  <si>
    <t>FP</t>
  </si>
  <si>
    <t>Universal, BHA-GS</t>
  </si>
  <si>
    <t>Reactive, BHA-CS</t>
  </si>
  <si>
    <t>Selective, BHA-CS</t>
  </si>
  <si>
    <t>Universal, BHA-CS</t>
  </si>
  <si>
    <t>Reactive, BHA-CS, no repeat among BHA+</t>
  </si>
  <si>
    <t>Selective, BHA-CS, no repeat among BHA+</t>
  </si>
  <si>
    <t>Universal, BHA-CS, no repeat among BHA+</t>
  </si>
  <si>
    <t>Selective, BHA-GS</t>
  </si>
  <si>
    <t>Reactive, BHA-GS</t>
  </si>
  <si>
    <t>Scaling factor</t>
  </si>
  <si>
    <t>Consistently Accurate (TP/TN)</t>
  </si>
  <si>
    <t>FP changed to TN</t>
  </si>
  <si>
    <t>FN changed to TP</t>
  </si>
  <si>
    <t>Count</t>
  </si>
  <si>
    <t>% of Tested</t>
  </si>
  <si>
    <t>% of TP initially missed</t>
  </si>
  <si>
    <t>% of TN initially misclassified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</si>
</sst>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2"/>
      <color theme="1"/>
      <name val="Aptos Narrow"/>
      <scheme val="minor"/>
    </font>
    <font>
      <sz val="12"/>
      <name val="Aptos Narrow"/>
      <scheme val="minor"/>
    </font>
    <font>
      <sz val="12"/>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13">
    <xf numFmtId="0" fontId="0" fillId="0" borderId="0" xfId="0"/>
    <xf numFmtId="0" fontId="1" fillId="0" borderId="0" xfId="0" applyFont="1" applyAlignment="1">
      <alignment horizontal="center"/>
    </xf>
    <xf numFmtId="0" fontId="0" fillId="0" borderId="0" xfId="0" applyAlignment="1">
      <alignment wrapText="1"/>
    </xf>
    <xf numFmtId="0" fontId="1" fillId="0" borderId="0" xfId="0" applyFont="1"/>
    <xf numFmtId="1" fontId="2" fillId="0" borderId="0" xfId="0" applyNumberFormat="1" applyFont="1" applyAlignment="1">
      <alignment horizontal="center" vertical="center" wrapText="1"/>
    </xf>
    <xf numFmtId="1" fontId="2" fillId="0" borderId="0" xfId="0" applyNumberFormat="1" applyFont="1" applyAlignment="1">
      <alignment vertical="center" wrapText="1"/>
    </xf>
    <xf numFmtId="0" fontId="0" fillId="2" borderId="0" xfId="0" applyFill="1"/>
    <xf numFmtId="0" fontId="0" fillId="0" borderId="0" xfId="0" applyAlignment="1">
      <alignment horizontal="center" vertical="center"/>
    </xf>
    <xf numFmtId="0" fontId="1" fillId="0" borderId="0" xfId="0"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center" vertical="center" wrapText="1"/>
    </xf>
    <xf numFmtId="9" fontId="0" fillId="0" borderId="0" xfId="1" applyFont="1" applyAlignment="1">
      <alignment horizontal="center" vertical="center"/>
    </xf>
    <xf numFmtId="10" fontId="0" fillId="0" borderId="0" xfId="1" applyNumberFormat="1" applyFont="1" applyAlignment="1">
      <alignment horizontal="center"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r>
              <a:rPr lang="en-US" sz="1800" b="1" i="0" u="none" strike="noStrike">
                <a:effectLst/>
              </a:rPr>
              <a:t>Reactive, BHA-CS</a:t>
            </a:r>
            <a:r>
              <a:rPr lang="en-US">
                <a:effectLst/>
              </a:rPr>
              <a:t> </a:t>
            </a:r>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8601907280509368E-3"/>
          <c:y val="0.15206929945826597"/>
          <c:w val="0.97911810013468759"/>
          <c:h val="0.8197278018494184"/>
        </c:manualLayout>
      </c:layout>
      <c:ofPieChart>
        <c:ofPieType val="bar"/>
        <c:varyColors val="1"/>
        <c:ser>
          <c:idx val="0"/>
          <c:order val="0"/>
          <c:spPr>
            <a:solidFill>
              <a:schemeClr val="accent1"/>
            </a:solidFill>
            <a:ln w="12700">
              <a:solidFill>
                <a:schemeClr val="tx1"/>
              </a:solidFill>
            </a:ln>
          </c:spPr>
          <c:dPt>
            <c:idx val="0"/>
            <c:bubble3D val="0"/>
            <c:spPr>
              <a:solidFill>
                <a:schemeClr val="accent4">
                  <a:lumMod val="60000"/>
                  <a:lumOff val="40000"/>
                </a:schemeClr>
              </a:solidFill>
              <a:ln w="12700">
                <a:solidFill>
                  <a:schemeClr val="tx1"/>
                </a:solidFill>
              </a:ln>
              <a:effectLst/>
            </c:spPr>
            <c:extLst>
              <c:ext xmlns:c16="http://schemas.microsoft.com/office/drawing/2014/chart" uri="{C3380CC4-5D6E-409C-BE32-E72D297353CC}">
                <c16:uniqueId val="{00000001-1AF4-A049-8E1C-D16CC8FF2E49}"/>
              </c:ext>
            </c:extLst>
          </c:dPt>
          <c:dPt>
            <c:idx val="1"/>
            <c:bubble3D val="0"/>
            <c:spPr>
              <a:pattFill prst="wdDnDiag">
                <a:fgClr>
                  <a:schemeClr val="accent2">
                    <a:lumMod val="60000"/>
                    <a:lumOff val="40000"/>
                  </a:schemeClr>
                </a:fgClr>
                <a:bgClr>
                  <a:schemeClr val="bg1"/>
                </a:bgClr>
              </a:pattFill>
              <a:ln w="12700">
                <a:solidFill>
                  <a:schemeClr val="tx1"/>
                </a:solidFill>
              </a:ln>
              <a:effectLst/>
            </c:spPr>
            <c:extLst>
              <c:ext xmlns:c16="http://schemas.microsoft.com/office/drawing/2014/chart" uri="{C3380CC4-5D6E-409C-BE32-E72D297353CC}">
                <c16:uniqueId val="{00000003-1AF4-A049-8E1C-D16CC8FF2E49}"/>
              </c:ext>
            </c:extLst>
          </c:dPt>
          <c:dPt>
            <c:idx val="2"/>
            <c:bubble3D val="0"/>
            <c:spPr>
              <a:solidFill>
                <a:schemeClr val="accent2">
                  <a:lumMod val="75000"/>
                </a:schemeClr>
              </a:solidFill>
              <a:ln w="12700">
                <a:solidFill>
                  <a:schemeClr val="tx1"/>
                </a:solidFill>
              </a:ln>
              <a:effectLst/>
            </c:spPr>
            <c:extLst>
              <c:ext xmlns:c16="http://schemas.microsoft.com/office/drawing/2014/chart" uri="{C3380CC4-5D6E-409C-BE32-E72D297353CC}">
                <c16:uniqueId val="{00000005-1AF4-A049-8E1C-D16CC8FF2E49}"/>
              </c:ext>
            </c:extLst>
          </c:dPt>
          <c:dPt>
            <c:idx val="3"/>
            <c:bubble3D val="0"/>
            <c:spPr>
              <a:pattFill prst="wdDnDiag">
                <a:fgClr>
                  <a:schemeClr val="accent2">
                    <a:lumMod val="75000"/>
                  </a:schemeClr>
                </a:fgClr>
                <a:bgClr>
                  <a:schemeClr val="bg1"/>
                </a:bgClr>
              </a:pattFill>
              <a:ln w="12700">
                <a:solidFill>
                  <a:schemeClr val="tx1"/>
                </a:solidFill>
              </a:ln>
              <a:effectLst/>
            </c:spPr>
            <c:extLst>
              <c:ext xmlns:c16="http://schemas.microsoft.com/office/drawing/2014/chart" uri="{C3380CC4-5D6E-409C-BE32-E72D297353CC}">
                <c16:uniqueId val="{00000007-1AF4-A049-8E1C-D16CC8FF2E49}"/>
              </c:ext>
            </c:extLst>
          </c:dPt>
          <c:dPt>
            <c:idx val="4"/>
            <c:bubble3D val="0"/>
            <c:spPr>
              <a:solidFill>
                <a:schemeClr val="accent4"/>
              </a:solidFill>
              <a:ln w="12700">
                <a:solidFill>
                  <a:schemeClr val="tx1"/>
                </a:solidFill>
              </a:ln>
              <a:effectLst/>
            </c:spPr>
            <c:extLst>
              <c:ext xmlns:c16="http://schemas.microsoft.com/office/drawing/2014/chart" uri="{C3380CC4-5D6E-409C-BE32-E72D297353CC}">
                <c16:uniqueId val="{00000009-1AF4-A049-8E1C-D16CC8FF2E49}"/>
              </c:ext>
            </c:extLst>
          </c:dPt>
          <c:dPt>
            <c:idx val="5"/>
            <c:bubble3D val="0"/>
            <c:spPr>
              <a:pattFill prst="wdDnDiag">
                <a:fgClr>
                  <a:schemeClr val="accent4"/>
                </a:fgClr>
                <a:bgClr>
                  <a:schemeClr val="bg1"/>
                </a:bgClr>
              </a:pattFill>
              <a:ln w="12700">
                <a:solidFill>
                  <a:schemeClr val="tx1"/>
                </a:solidFill>
              </a:ln>
              <a:effectLst/>
            </c:spPr>
            <c:extLst>
              <c:ext xmlns:c16="http://schemas.microsoft.com/office/drawing/2014/chart" uri="{C3380CC4-5D6E-409C-BE32-E72D297353CC}">
                <c16:uniqueId val="{0000000B-1AF4-A049-8E1C-D16CC8FF2E49}"/>
              </c:ext>
            </c:extLst>
          </c:dPt>
          <c:dPt>
            <c:idx val="6"/>
            <c:bubble3D val="0"/>
            <c:spPr>
              <a:solidFill>
                <a:schemeClr val="bg1">
                  <a:lumMod val="95000"/>
                </a:schemeClr>
              </a:solidFill>
              <a:ln w="19050">
                <a:solidFill>
                  <a:schemeClr val="accent6">
                    <a:lumMod val="75000"/>
                  </a:schemeClr>
                </a:solidFill>
                <a:prstDash val="lgDashDot"/>
              </a:ln>
              <a:effectLst/>
            </c:spPr>
            <c:extLst>
              <c:ext xmlns:c16="http://schemas.microsoft.com/office/drawing/2014/chart" uri="{C3380CC4-5D6E-409C-BE32-E72D297353CC}">
                <c16:uniqueId val="{0000000D-1AF4-A049-8E1C-D16CC8FF2E49}"/>
              </c:ext>
            </c:extLst>
          </c:dPt>
          <c:dLbls>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1-1AF4-A049-8E1C-D16CC8FF2E49}"/>
                </c:ext>
              </c:extLst>
            </c:dLbl>
            <c:dLbl>
              <c:idx val="6"/>
              <c:layout>
                <c:manualLayout>
                  <c:x val="-0.12493037165649852"/>
                  <c:y val="9.2130050008809139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1AF4-A049-8E1C-D16CC8FF2E49}"/>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Sheet1!$K$4:$P$4</c:f>
              <c:numCache>
                <c:formatCode>0</c:formatCode>
                <c:ptCount val="6"/>
                <c:pt idx="0">
                  <c:v>645.84608813269745</c:v>
                </c:pt>
                <c:pt idx="1">
                  <c:v>192.73866305972805</c:v>
                </c:pt>
                <c:pt idx="2">
                  <c:v>77.781732754324764</c:v>
                </c:pt>
                <c:pt idx="3">
                  <c:v>15.40542464583185</c:v>
                </c:pt>
                <c:pt idx="4">
                  <c:v>56.068911511354742</c:v>
                </c:pt>
                <c:pt idx="5">
                  <c:v>12.159179896063216</c:v>
                </c:pt>
              </c:numCache>
            </c:numRef>
          </c:val>
          <c:extLst>
            <c:ext xmlns:c16="http://schemas.microsoft.com/office/drawing/2014/chart" uri="{C3380CC4-5D6E-409C-BE32-E72D297353CC}">
              <c16:uniqueId val="{0000000E-1AF4-A049-8E1C-D16CC8FF2E49}"/>
            </c:ext>
          </c:extLst>
        </c:ser>
        <c:ser>
          <c:idx val="1"/>
          <c:order val="1"/>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Sheet1!$A$4</c:f>
              <c:numCache>
                <c:formatCode>General</c:formatCode>
                <c:ptCount val="1"/>
                <c:pt idx="0">
                  <c:v>0</c:v>
                </c:pt>
              </c:numCache>
            </c:numRef>
          </c:val>
          <c:extLst>
            <c:ext xmlns:c16="http://schemas.microsoft.com/office/drawing/2014/chart" uri="{C3380CC4-5D6E-409C-BE32-E72D297353CC}">
              <c16:uniqueId val="{0000000E-27B1-4443-8392-72F1108497B0}"/>
            </c:ext>
          </c:extLst>
        </c:ser>
        <c:dLbls>
          <c:showLegendKey val="0"/>
          <c:showVal val="0"/>
          <c:showCatName val="0"/>
          <c:showSerName val="0"/>
          <c:showPercent val="0"/>
          <c:showBubbleSize val="0"/>
          <c:showLeaderLines val="1"/>
        </c:dLbls>
        <c:gapWidth val="100"/>
        <c:splitType val="pos"/>
        <c:splitPos val="4"/>
        <c:secondPieSize val="62"/>
        <c:serLines>
          <c:spPr>
            <a:ln w="9525" cap="flat" cmpd="sng" algn="ctr">
              <a:solidFill>
                <a:schemeClr val="tx1">
                  <a:lumMod val="75000"/>
                  <a:lumOff val="25000"/>
                </a:schemeClr>
              </a:solidFill>
              <a:round/>
            </a:ln>
            <a:effectLst/>
          </c:spPr>
        </c:serLines>
      </c:ofPieChart>
      <c:spPr>
        <a:noFill/>
        <a:ln>
          <a:noFill/>
        </a:ln>
        <a:effectLst/>
      </c:spPr>
    </c:plotArea>
    <c:plotVisOnly val="1"/>
    <c:dispBlanksAs val="gap"/>
    <c:showDLblsOverMax val="0"/>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r>
              <a:rPr lang="en-US" sz="1800" b="1" i="0" u="none" strike="noStrike">
                <a:effectLst/>
              </a:rPr>
              <a:t>Selective, BHA-CS</a:t>
            </a:r>
            <a:r>
              <a:rPr lang="en-US">
                <a:effectLst/>
              </a:rPr>
              <a:t> </a:t>
            </a:r>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8601907280509368E-3"/>
          <c:y val="0.15206929945826597"/>
          <c:w val="0.97911810013468759"/>
          <c:h val="0.8197278018494184"/>
        </c:manualLayout>
      </c:layout>
      <c:ofPieChart>
        <c:ofPieType val="bar"/>
        <c:varyColors val="1"/>
        <c:ser>
          <c:idx val="0"/>
          <c:order val="0"/>
          <c:spPr>
            <a:solidFill>
              <a:schemeClr val="accent1"/>
            </a:solidFill>
            <a:ln w="12700">
              <a:solidFill>
                <a:schemeClr val="tx1"/>
              </a:solidFill>
            </a:ln>
          </c:spPr>
          <c:dPt>
            <c:idx val="0"/>
            <c:bubble3D val="0"/>
            <c:spPr>
              <a:solidFill>
                <a:schemeClr val="accent4">
                  <a:lumMod val="60000"/>
                  <a:lumOff val="40000"/>
                </a:schemeClr>
              </a:solidFill>
              <a:ln w="12700">
                <a:solidFill>
                  <a:schemeClr val="tx1"/>
                </a:solidFill>
              </a:ln>
              <a:effectLst/>
            </c:spPr>
            <c:extLst>
              <c:ext xmlns:c16="http://schemas.microsoft.com/office/drawing/2014/chart" uri="{C3380CC4-5D6E-409C-BE32-E72D297353CC}">
                <c16:uniqueId val="{00000001-1AF4-A049-8E1C-D16CC8FF2E49}"/>
              </c:ext>
            </c:extLst>
          </c:dPt>
          <c:dPt>
            <c:idx val="1"/>
            <c:bubble3D val="0"/>
            <c:spPr>
              <a:pattFill prst="wdDnDiag">
                <a:fgClr>
                  <a:schemeClr val="accent2">
                    <a:lumMod val="60000"/>
                    <a:lumOff val="40000"/>
                  </a:schemeClr>
                </a:fgClr>
                <a:bgClr>
                  <a:schemeClr val="bg1"/>
                </a:bgClr>
              </a:pattFill>
              <a:ln w="12700">
                <a:solidFill>
                  <a:schemeClr val="tx1"/>
                </a:solidFill>
              </a:ln>
              <a:effectLst/>
            </c:spPr>
            <c:extLst>
              <c:ext xmlns:c16="http://schemas.microsoft.com/office/drawing/2014/chart" uri="{C3380CC4-5D6E-409C-BE32-E72D297353CC}">
                <c16:uniqueId val="{00000003-1AF4-A049-8E1C-D16CC8FF2E49}"/>
              </c:ext>
            </c:extLst>
          </c:dPt>
          <c:dPt>
            <c:idx val="2"/>
            <c:bubble3D val="0"/>
            <c:spPr>
              <a:solidFill>
                <a:schemeClr val="accent2">
                  <a:lumMod val="75000"/>
                </a:schemeClr>
              </a:solidFill>
              <a:ln w="12700">
                <a:solidFill>
                  <a:schemeClr val="tx1"/>
                </a:solidFill>
              </a:ln>
              <a:effectLst/>
            </c:spPr>
            <c:extLst>
              <c:ext xmlns:c16="http://schemas.microsoft.com/office/drawing/2014/chart" uri="{C3380CC4-5D6E-409C-BE32-E72D297353CC}">
                <c16:uniqueId val="{00000005-1AF4-A049-8E1C-D16CC8FF2E49}"/>
              </c:ext>
            </c:extLst>
          </c:dPt>
          <c:dPt>
            <c:idx val="3"/>
            <c:bubble3D val="0"/>
            <c:spPr>
              <a:pattFill prst="wdDnDiag">
                <a:fgClr>
                  <a:schemeClr val="accent2">
                    <a:lumMod val="75000"/>
                  </a:schemeClr>
                </a:fgClr>
                <a:bgClr>
                  <a:schemeClr val="bg1"/>
                </a:bgClr>
              </a:pattFill>
              <a:ln w="12700">
                <a:solidFill>
                  <a:schemeClr val="tx1"/>
                </a:solidFill>
              </a:ln>
              <a:effectLst/>
            </c:spPr>
            <c:extLst>
              <c:ext xmlns:c16="http://schemas.microsoft.com/office/drawing/2014/chart" uri="{C3380CC4-5D6E-409C-BE32-E72D297353CC}">
                <c16:uniqueId val="{00000007-1AF4-A049-8E1C-D16CC8FF2E49}"/>
              </c:ext>
            </c:extLst>
          </c:dPt>
          <c:dPt>
            <c:idx val="4"/>
            <c:bubble3D val="0"/>
            <c:spPr>
              <a:solidFill>
                <a:schemeClr val="accent4"/>
              </a:solidFill>
              <a:ln w="12700">
                <a:solidFill>
                  <a:schemeClr val="tx1"/>
                </a:solidFill>
              </a:ln>
              <a:effectLst/>
            </c:spPr>
            <c:extLst>
              <c:ext xmlns:c16="http://schemas.microsoft.com/office/drawing/2014/chart" uri="{C3380CC4-5D6E-409C-BE32-E72D297353CC}">
                <c16:uniqueId val="{00000009-1AF4-A049-8E1C-D16CC8FF2E49}"/>
              </c:ext>
            </c:extLst>
          </c:dPt>
          <c:dPt>
            <c:idx val="5"/>
            <c:bubble3D val="0"/>
            <c:spPr>
              <a:pattFill prst="wdDnDiag">
                <a:fgClr>
                  <a:schemeClr val="accent4"/>
                </a:fgClr>
                <a:bgClr>
                  <a:schemeClr val="bg1"/>
                </a:bgClr>
              </a:pattFill>
              <a:ln w="12700">
                <a:solidFill>
                  <a:schemeClr val="tx1"/>
                </a:solidFill>
              </a:ln>
              <a:effectLst/>
            </c:spPr>
            <c:extLst>
              <c:ext xmlns:c16="http://schemas.microsoft.com/office/drawing/2014/chart" uri="{C3380CC4-5D6E-409C-BE32-E72D297353CC}">
                <c16:uniqueId val="{0000000B-1AF4-A049-8E1C-D16CC8FF2E49}"/>
              </c:ext>
            </c:extLst>
          </c:dPt>
          <c:dPt>
            <c:idx val="6"/>
            <c:bubble3D val="0"/>
            <c:spPr>
              <a:solidFill>
                <a:schemeClr val="bg1">
                  <a:lumMod val="95000"/>
                </a:schemeClr>
              </a:solidFill>
              <a:ln w="19050">
                <a:solidFill>
                  <a:schemeClr val="accent6">
                    <a:lumMod val="75000"/>
                  </a:schemeClr>
                </a:solidFill>
                <a:prstDash val="lgDashDot"/>
              </a:ln>
              <a:effectLst/>
            </c:spPr>
            <c:extLst>
              <c:ext xmlns:c16="http://schemas.microsoft.com/office/drawing/2014/chart" uri="{C3380CC4-5D6E-409C-BE32-E72D297353CC}">
                <c16:uniqueId val="{0000000D-1AF4-A049-8E1C-D16CC8FF2E49}"/>
              </c:ext>
            </c:extLst>
          </c:dPt>
          <c:dLbls>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1-1AF4-A049-8E1C-D16CC8FF2E49}"/>
                </c:ext>
              </c:extLst>
            </c:dLbl>
            <c:dLbl>
              <c:idx val="6"/>
              <c:layout>
                <c:manualLayout>
                  <c:x val="-0.12493037165649852"/>
                  <c:y val="9.2130050008809139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1AF4-A049-8E1C-D16CC8FF2E49}"/>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Sheet1!$K$5:$P$5</c:f>
              <c:numCache>
                <c:formatCode>0</c:formatCode>
                <c:ptCount val="6"/>
                <c:pt idx="0">
                  <c:v>452.03958140528226</c:v>
                </c:pt>
                <c:pt idx="1">
                  <c:v>59.82772122161316</c:v>
                </c:pt>
                <c:pt idx="2">
                  <c:v>193.5217484160319</c:v>
                </c:pt>
                <c:pt idx="3">
                  <c:v>25.215348472983557</c:v>
                </c:pt>
                <c:pt idx="4">
                  <c:v>216.92888161173204</c:v>
                </c:pt>
                <c:pt idx="5">
                  <c:v>52.466718872357092</c:v>
                </c:pt>
              </c:numCache>
            </c:numRef>
          </c:val>
          <c:extLst>
            <c:ext xmlns:c16="http://schemas.microsoft.com/office/drawing/2014/chart" uri="{C3380CC4-5D6E-409C-BE32-E72D297353CC}">
              <c16:uniqueId val="{0000000E-1AF4-A049-8E1C-D16CC8FF2E49}"/>
            </c:ext>
          </c:extLst>
        </c:ser>
        <c:dLbls>
          <c:showLegendKey val="0"/>
          <c:showVal val="0"/>
          <c:showCatName val="0"/>
          <c:showSerName val="0"/>
          <c:showPercent val="0"/>
          <c:showBubbleSize val="0"/>
          <c:showLeaderLines val="1"/>
        </c:dLbls>
        <c:gapWidth val="100"/>
        <c:splitType val="pos"/>
        <c:splitPos val="4"/>
        <c:secondPieSize val="62"/>
        <c:serLines>
          <c:spPr>
            <a:ln w="9525" cap="flat" cmpd="sng" algn="ctr">
              <a:solidFill>
                <a:schemeClr val="tx1">
                  <a:lumMod val="75000"/>
                  <a:lumOff val="25000"/>
                </a:schemeClr>
              </a:solidFill>
              <a:round/>
            </a:ln>
            <a:effectLst/>
          </c:spPr>
        </c:serLines>
      </c:ofPieChart>
      <c:spPr>
        <a:noFill/>
        <a:ln>
          <a:noFill/>
        </a:ln>
        <a:effectLst/>
      </c:spPr>
    </c:plotArea>
    <c:plotVisOnly val="1"/>
    <c:dispBlanksAs val="gap"/>
    <c:showDLblsOverMax val="0"/>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r>
              <a:rPr lang="en-US" sz="1800" b="1" i="0" u="none" strike="noStrike">
                <a:effectLst/>
              </a:rPr>
              <a:t>Universal, BHA-CS</a:t>
            </a:r>
            <a:r>
              <a:rPr lang="en-US">
                <a:effectLst/>
              </a:rPr>
              <a:t> </a:t>
            </a:r>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8601907280509368E-3"/>
          <c:y val="0.15206929945826597"/>
          <c:w val="0.97911810013468759"/>
          <c:h val="0.8197278018494184"/>
        </c:manualLayout>
      </c:layout>
      <c:ofPieChart>
        <c:ofPieType val="bar"/>
        <c:varyColors val="1"/>
        <c:ser>
          <c:idx val="0"/>
          <c:order val="0"/>
          <c:spPr>
            <a:solidFill>
              <a:schemeClr val="accent1"/>
            </a:solidFill>
            <a:ln w="12700">
              <a:solidFill>
                <a:schemeClr val="tx1"/>
              </a:solidFill>
            </a:ln>
          </c:spPr>
          <c:dPt>
            <c:idx val="0"/>
            <c:bubble3D val="0"/>
            <c:spPr>
              <a:solidFill>
                <a:schemeClr val="accent4">
                  <a:lumMod val="60000"/>
                  <a:lumOff val="40000"/>
                </a:schemeClr>
              </a:solidFill>
              <a:ln w="12700">
                <a:solidFill>
                  <a:schemeClr val="tx1"/>
                </a:solidFill>
              </a:ln>
              <a:effectLst/>
            </c:spPr>
            <c:extLst>
              <c:ext xmlns:c16="http://schemas.microsoft.com/office/drawing/2014/chart" uri="{C3380CC4-5D6E-409C-BE32-E72D297353CC}">
                <c16:uniqueId val="{00000001-1AF4-A049-8E1C-D16CC8FF2E49}"/>
              </c:ext>
            </c:extLst>
          </c:dPt>
          <c:dPt>
            <c:idx val="1"/>
            <c:bubble3D val="0"/>
            <c:spPr>
              <a:pattFill prst="wdDnDiag">
                <a:fgClr>
                  <a:schemeClr val="accent2">
                    <a:lumMod val="60000"/>
                    <a:lumOff val="40000"/>
                  </a:schemeClr>
                </a:fgClr>
                <a:bgClr>
                  <a:schemeClr val="bg1"/>
                </a:bgClr>
              </a:pattFill>
              <a:ln w="12700">
                <a:solidFill>
                  <a:schemeClr val="tx1"/>
                </a:solidFill>
              </a:ln>
              <a:effectLst/>
            </c:spPr>
            <c:extLst>
              <c:ext xmlns:c16="http://schemas.microsoft.com/office/drawing/2014/chart" uri="{C3380CC4-5D6E-409C-BE32-E72D297353CC}">
                <c16:uniqueId val="{00000003-1AF4-A049-8E1C-D16CC8FF2E49}"/>
              </c:ext>
            </c:extLst>
          </c:dPt>
          <c:dPt>
            <c:idx val="2"/>
            <c:bubble3D val="0"/>
            <c:spPr>
              <a:solidFill>
                <a:schemeClr val="accent2">
                  <a:lumMod val="75000"/>
                </a:schemeClr>
              </a:solidFill>
              <a:ln w="12700">
                <a:solidFill>
                  <a:schemeClr val="tx1"/>
                </a:solidFill>
              </a:ln>
              <a:effectLst/>
            </c:spPr>
            <c:extLst>
              <c:ext xmlns:c16="http://schemas.microsoft.com/office/drawing/2014/chart" uri="{C3380CC4-5D6E-409C-BE32-E72D297353CC}">
                <c16:uniqueId val="{00000005-1AF4-A049-8E1C-D16CC8FF2E49}"/>
              </c:ext>
            </c:extLst>
          </c:dPt>
          <c:dPt>
            <c:idx val="3"/>
            <c:bubble3D val="0"/>
            <c:spPr>
              <a:pattFill prst="wdDnDiag">
                <a:fgClr>
                  <a:schemeClr val="accent2">
                    <a:lumMod val="75000"/>
                  </a:schemeClr>
                </a:fgClr>
                <a:bgClr>
                  <a:schemeClr val="bg1"/>
                </a:bgClr>
              </a:pattFill>
              <a:ln w="12700">
                <a:solidFill>
                  <a:schemeClr val="tx1"/>
                </a:solidFill>
              </a:ln>
              <a:effectLst/>
            </c:spPr>
            <c:extLst>
              <c:ext xmlns:c16="http://schemas.microsoft.com/office/drawing/2014/chart" uri="{C3380CC4-5D6E-409C-BE32-E72D297353CC}">
                <c16:uniqueId val="{00000007-1AF4-A049-8E1C-D16CC8FF2E49}"/>
              </c:ext>
            </c:extLst>
          </c:dPt>
          <c:dPt>
            <c:idx val="4"/>
            <c:bubble3D val="0"/>
            <c:spPr>
              <a:solidFill>
                <a:schemeClr val="accent4"/>
              </a:solidFill>
              <a:ln w="12700">
                <a:solidFill>
                  <a:schemeClr val="tx1"/>
                </a:solidFill>
              </a:ln>
              <a:effectLst/>
            </c:spPr>
            <c:extLst>
              <c:ext xmlns:c16="http://schemas.microsoft.com/office/drawing/2014/chart" uri="{C3380CC4-5D6E-409C-BE32-E72D297353CC}">
                <c16:uniqueId val="{00000009-1AF4-A049-8E1C-D16CC8FF2E49}"/>
              </c:ext>
            </c:extLst>
          </c:dPt>
          <c:dPt>
            <c:idx val="5"/>
            <c:bubble3D val="0"/>
            <c:spPr>
              <a:pattFill prst="wdDnDiag">
                <a:fgClr>
                  <a:schemeClr val="accent4"/>
                </a:fgClr>
                <a:bgClr>
                  <a:schemeClr val="bg1"/>
                </a:bgClr>
              </a:pattFill>
              <a:ln w="12700">
                <a:solidFill>
                  <a:schemeClr val="tx1"/>
                </a:solidFill>
              </a:ln>
              <a:effectLst/>
            </c:spPr>
            <c:extLst>
              <c:ext xmlns:c16="http://schemas.microsoft.com/office/drawing/2014/chart" uri="{C3380CC4-5D6E-409C-BE32-E72D297353CC}">
                <c16:uniqueId val="{0000000B-1AF4-A049-8E1C-D16CC8FF2E49}"/>
              </c:ext>
            </c:extLst>
          </c:dPt>
          <c:dPt>
            <c:idx val="6"/>
            <c:bubble3D val="0"/>
            <c:spPr>
              <a:solidFill>
                <a:schemeClr val="bg1">
                  <a:lumMod val="95000"/>
                </a:schemeClr>
              </a:solidFill>
              <a:ln w="19050">
                <a:solidFill>
                  <a:schemeClr val="accent6">
                    <a:lumMod val="75000"/>
                  </a:schemeClr>
                </a:solidFill>
                <a:prstDash val="lgDashDot"/>
              </a:ln>
              <a:effectLst/>
            </c:spPr>
            <c:extLst>
              <c:ext xmlns:c16="http://schemas.microsoft.com/office/drawing/2014/chart" uri="{C3380CC4-5D6E-409C-BE32-E72D297353CC}">
                <c16:uniqueId val="{0000000D-1AF4-A049-8E1C-D16CC8FF2E49}"/>
              </c:ext>
            </c:extLst>
          </c:dPt>
          <c:dLbls>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1-1AF4-A049-8E1C-D16CC8FF2E49}"/>
                </c:ext>
              </c:extLst>
            </c:dLbl>
            <c:dLbl>
              <c:idx val="6"/>
              <c:layout>
                <c:manualLayout>
                  <c:x val="-0.12493037165649852"/>
                  <c:y val="9.2130050008809139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1AF4-A049-8E1C-D16CC8FF2E49}"/>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Sheet1!$K$6:$P$6</c:f>
              <c:numCache>
                <c:formatCode>0</c:formatCode>
                <c:ptCount val="6"/>
                <c:pt idx="0">
                  <c:v>0</c:v>
                </c:pt>
                <c:pt idx="1">
                  <c:v>0</c:v>
                </c:pt>
                <c:pt idx="2">
                  <c:v>285.598348401794</c:v>
                </c:pt>
                <c:pt idx="3">
                  <c:v>8.813269737310458</c:v>
                </c:pt>
                <c:pt idx="4">
                  <c:v>177.10543176478964</c:v>
                </c:pt>
                <c:pt idx="5">
                  <c:v>528.48295009610592</c:v>
                </c:pt>
              </c:numCache>
            </c:numRef>
          </c:val>
          <c:extLst>
            <c:ext xmlns:c16="http://schemas.microsoft.com/office/drawing/2014/chart" uri="{C3380CC4-5D6E-409C-BE32-E72D297353CC}">
              <c16:uniqueId val="{0000000E-1AF4-A049-8E1C-D16CC8FF2E49}"/>
            </c:ext>
          </c:extLst>
        </c:ser>
        <c:ser>
          <c:idx val="1"/>
          <c:order val="1"/>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Sheet1!$A$6</c:f>
              <c:numCache>
                <c:formatCode>General</c:formatCode>
                <c:ptCount val="1"/>
                <c:pt idx="0">
                  <c:v>0</c:v>
                </c:pt>
              </c:numCache>
            </c:numRef>
          </c:val>
          <c:extLst>
            <c:ext xmlns:c16="http://schemas.microsoft.com/office/drawing/2014/chart" uri="{C3380CC4-5D6E-409C-BE32-E72D297353CC}">
              <c16:uniqueId val="{00000026-59C7-BB46-A114-73AEE931D906}"/>
            </c:ext>
          </c:extLst>
        </c:ser>
        <c:dLbls>
          <c:showLegendKey val="0"/>
          <c:showVal val="0"/>
          <c:showCatName val="0"/>
          <c:showSerName val="0"/>
          <c:showPercent val="0"/>
          <c:showBubbleSize val="0"/>
          <c:showLeaderLines val="1"/>
        </c:dLbls>
        <c:gapWidth val="100"/>
        <c:splitType val="pos"/>
        <c:splitPos val="4"/>
        <c:secondPieSize val="62"/>
        <c:serLines>
          <c:spPr>
            <a:ln w="9525" cap="flat" cmpd="sng" algn="ctr">
              <a:solidFill>
                <a:schemeClr val="tx1">
                  <a:lumMod val="75000"/>
                  <a:lumOff val="25000"/>
                </a:schemeClr>
              </a:solidFill>
              <a:round/>
            </a:ln>
            <a:effectLst/>
          </c:spPr>
        </c:serLines>
      </c:ofPieChart>
      <c:spPr>
        <a:noFill/>
        <a:ln>
          <a:noFill/>
        </a:ln>
        <a:effectLst/>
      </c:spPr>
    </c:plotArea>
    <c:plotVisOnly val="1"/>
    <c:dispBlanksAs val="gap"/>
    <c:showDLblsOverMax val="0"/>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a:effectLst/>
              </a:rPr>
              <a:t>Universal, BHA-CS, no repeat among BHA+</a:t>
            </a:r>
            <a:r>
              <a:rPr lang="en-US" sz="1400">
                <a:effectLst/>
              </a:rPr>
              <a:t>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8601907280509368E-3"/>
          <c:y val="0.15206929945826597"/>
          <c:w val="0.97911810013468759"/>
          <c:h val="0.8197278018494184"/>
        </c:manualLayout>
      </c:layout>
      <c:ofPieChart>
        <c:ofPieType val="bar"/>
        <c:varyColors val="1"/>
        <c:ser>
          <c:idx val="0"/>
          <c:order val="0"/>
          <c:spPr>
            <a:solidFill>
              <a:schemeClr val="accent1"/>
            </a:solidFill>
            <a:ln w="12700">
              <a:solidFill>
                <a:schemeClr val="tx1"/>
              </a:solidFill>
            </a:ln>
          </c:spPr>
          <c:dPt>
            <c:idx val="0"/>
            <c:bubble3D val="0"/>
            <c:spPr>
              <a:solidFill>
                <a:schemeClr val="accent4">
                  <a:lumMod val="60000"/>
                  <a:lumOff val="40000"/>
                </a:schemeClr>
              </a:solidFill>
              <a:ln w="12700">
                <a:solidFill>
                  <a:schemeClr val="tx1"/>
                </a:solidFill>
              </a:ln>
              <a:effectLst/>
            </c:spPr>
            <c:extLst>
              <c:ext xmlns:c16="http://schemas.microsoft.com/office/drawing/2014/chart" uri="{C3380CC4-5D6E-409C-BE32-E72D297353CC}">
                <c16:uniqueId val="{00000001-1AF4-A049-8E1C-D16CC8FF2E49}"/>
              </c:ext>
            </c:extLst>
          </c:dPt>
          <c:dPt>
            <c:idx val="1"/>
            <c:bubble3D val="0"/>
            <c:spPr>
              <a:pattFill prst="wdDnDiag">
                <a:fgClr>
                  <a:schemeClr val="accent2">
                    <a:lumMod val="60000"/>
                    <a:lumOff val="40000"/>
                  </a:schemeClr>
                </a:fgClr>
                <a:bgClr>
                  <a:schemeClr val="bg1"/>
                </a:bgClr>
              </a:pattFill>
              <a:ln w="12700">
                <a:solidFill>
                  <a:schemeClr val="tx1"/>
                </a:solidFill>
              </a:ln>
              <a:effectLst/>
            </c:spPr>
            <c:extLst>
              <c:ext xmlns:c16="http://schemas.microsoft.com/office/drawing/2014/chart" uri="{C3380CC4-5D6E-409C-BE32-E72D297353CC}">
                <c16:uniqueId val="{00000003-1AF4-A049-8E1C-D16CC8FF2E49}"/>
              </c:ext>
            </c:extLst>
          </c:dPt>
          <c:dPt>
            <c:idx val="2"/>
            <c:bubble3D val="0"/>
            <c:spPr>
              <a:solidFill>
                <a:schemeClr val="accent2">
                  <a:lumMod val="75000"/>
                </a:schemeClr>
              </a:solidFill>
              <a:ln w="12700">
                <a:solidFill>
                  <a:schemeClr val="tx1"/>
                </a:solidFill>
              </a:ln>
              <a:effectLst/>
            </c:spPr>
            <c:extLst>
              <c:ext xmlns:c16="http://schemas.microsoft.com/office/drawing/2014/chart" uri="{C3380CC4-5D6E-409C-BE32-E72D297353CC}">
                <c16:uniqueId val="{00000005-1AF4-A049-8E1C-D16CC8FF2E49}"/>
              </c:ext>
            </c:extLst>
          </c:dPt>
          <c:dPt>
            <c:idx val="3"/>
            <c:bubble3D val="0"/>
            <c:spPr>
              <a:pattFill prst="wdDnDiag">
                <a:fgClr>
                  <a:schemeClr val="accent2">
                    <a:lumMod val="75000"/>
                  </a:schemeClr>
                </a:fgClr>
                <a:bgClr>
                  <a:schemeClr val="bg1"/>
                </a:bgClr>
              </a:pattFill>
              <a:ln w="12700">
                <a:solidFill>
                  <a:schemeClr val="tx1"/>
                </a:solidFill>
              </a:ln>
              <a:effectLst/>
            </c:spPr>
            <c:extLst>
              <c:ext xmlns:c16="http://schemas.microsoft.com/office/drawing/2014/chart" uri="{C3380CC4-5D6E-409C-BE32-E72D297353CC}">
                <c16:uniqueId val="{00000007-1AF4-A049-8E1C-D16CC8FF2E49}"/>
              </c:ext>
            </c:extLst>
          </c:dPt>
          <c:dPt>
            <c:idx val="4"/>
            <c:bubble3D val="0"/>
            <c:spPr>
              <a:solidFill>
                <a:schemeClr val="accent4"/>
              </a:solidFill>
              <a:ln w="12700">
                <a:solidFill>
                  <a:schemeClr val="tx1"/>
                </a:solidFill>
              </a:ln>
              <a:effectLst/>
            </c:spPr>
            <c:extLst>
              <c:ext xmlns:c16="http://schemas.microsoft.com/office/drawing/2014/chart" uri="{C3380CC4-5D6E-409C-BE32-E72D297353CC}">
                <c16:uniqueId val="{00000009-1AF4-A049-8E1C-D16CC8FF2E49}"/>
              </c:ext>
            </c:extLst>
          </c:dPt>
          <c:dPt>
            <c:idx val="5"/>
            <c:bubble3D val="0"/>
            <c:spPr>
              <a:pattFill prst="wdDnDiag">
                <a:fgClr>
                  <a:schemeClr val="accent4"/>
                </a:fgClr>
                <a:bgClr>
                  <a:schemeClr val="bg1"/>
                </a:bgClr>
              </a:pattFill>
              <a:ln w="12700">
                <a:solidFill>
                  <a:schemeClr val="tx1"/>
                </a:solidFill>
              </a:ln>
              <a:effectLst/>
            </c:spPr>
            <c:extLst>
              <c:ext xmlns:c16="http://schemas.microsoft.com/office/drawing/2014/chart" uri="{C3380CC4-5D6E-409C-BE32-E72D297353CC}">
                <c16:uniqueId val="{0000000B-1AF4-A049-8E1C-D16CC8FF2E49}"/>
              </c:ext>
            </c:extLst>
          </c:dPt>
          <c:dPt>
            <c:idx val="6"/>
            <c:bubble3D val="0"/>
            <c:spPr>
              <a:solidFill>
                <a:schemeClr val="bg1">
                  <a:lumMod val="95000"/>
                </a:schemeClr>
              </a:solidFill>
              <a:ln w="19050">
                <a:solidFill>
                  <a:schemeClr val="accent6">
                    <a:lumMod val="75000"/>
                  </a:schemeClr>
                </a:solidFill>
                <a:prstDash val="lgDashDot"/>
              </a:ln>
              <a:effectLst/>
            </c:spPr>
            <c:extLst>
              <c:ext xmlns:c16="http://schemas.microsoft.com/office/drawing/2014/chart" uri="{C3380CC4-5D6E-409C-BE32-E72D297353CC}">
                <c16:uniqueId val="{0000000D-1AF4-A049-8E1C-D16CC8FF2E49}"/>
              </c:ext>
            </c:extLst>
          </c:dPt>
          <c:dLbls>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1-1AF4-A049-8E1C-D16CC8FF2E49}"/>
                </c:ext>
              </c:extLst>
            </c:dLbl>
            <c:dLbl>
              <c:idx val="6"/>
              <c:layout>
                <c:manualLayout>
                  <c:x val="-0.12493037165649852"/>
                  <c:y val="9.2130050008809139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1AF4-A049-8E1C-D16CC8FF2E49}"/>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Sheet1!$K$14:$P$14</c:f>
              <c:numCache>
                <c:formatCode>0</c:formatCode>
                <c:ptCount val="6"/>
                <c:pt idx="0">
                  <c:v>0</c:v>
                </c:pt>
                <c:pt idx="1">
                  <c:v>0</c:v>
                </c:pt>
                <c:pt idx="2">
                  <c:v>11.24</c:v>
                </c:pt>
                <c:pt idx="3">
                  <c:v>1.03</c:v>
                </c:pt>
                <c:pt idx="4">
                  <c:v>34.119999999999997</c:v>
                </c:pt>
                <c:pt idx="5">
                  <c:v>127.97</c:v>
                </c:pt>
              </c:numCache>
            </c:numRef>
          </c:val>
          <c:extLst>
            <c:ext xmlns:c16="http://schemas.microsoft.com/office/drawing/2014/chart" uri="{C3380CC4-5D6E-409C-BE32-E72D297353CC}">
              <c16:uniqueId val="{0000000E-1AF4-A049-8E1C-D16CC8FF2E49}"/>
            </c:ext>
          </c:extLst>
        </c:ser>
        <c:dLbls>
          <c:showLegendKey val="0"/>
          <c:showVal val="0"/>
          <c:showCatName val="0"/>
          <c:showSerName val="0"/>
          <c:showPercent val="0"/>
          <c:showBubbleSize val="0"/>
          <c:showLeaderLines val="1"/>
        </c:dLbls>
        <c:gapWidth val="100"/>
        <c:splitType val="pos"/>
        <c:splitPos val="4"/>
        <c:secondPieSize val="62"/>
        <c:serLines>
          <c:spPr>
            <a:ln w="9525" cap="flat" cmpd="sng" algn="ctr">
              <a:solidFill>
                <a:schemeClr val="tx1">
                  <a:lumMod val="75000"/>
                  <a:lumOff val="25000"/>
                </a:schemeClr>
              </a:solidFill>
              <a:round/>
            </a:ln>
            <a:effectLst/>
          </c:spPr>
        </c:serLines>
      </c:ofPieChart>
      <c:spPr>
        <a:noFill/>
        <a:ln>
          <a:noFill/>
        </a:ln>
        <a:effectLst/>
      </c:spPr>
    </c:plotArea>
    <c:plotVisOnly val="1"/>
    <c:dispBlanksAs val="gap"/>
    <c:showDLblsOverMax val="0"/>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a:t>Reactive, BHA-CS, no repeat among BHA+ </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8601907280509368E-3"/>
          <c:y val="0.15206929945826597"/>
          <c:w val="0.97911810013468759"/>
          <c:h val="0.8197278018494184"/>
        </c:manualLayout>
      </c:layout>
      <c:ofPieChart>
        <c:ofPieType val="bar"/>
        <c:varyColors val="1"/>
        <c:ser>
          <c:idx val="0"/>
          <c:order val="0"/>
          <c:spPr>
            <a:solidFill>
              <a:schemeClr val="accent1"/>
            </a:solidFill>
            <a:ln w="12700">
              <a:solidFill>
                <a:schemeClr val="tx1"/>
              </a:solidFill>
            </a:ln>
          </c:spPr>
          <c:dPt>
            <c:idx val="0"/>
            <c:bubble3D val="0"/>
            <c:spPr>
              <a:solidFill>
                <a:schemeClr val="accent4">
                  <a:lumMod val="60000"/>
                  <a:lumOff val="40000"/>
                </a:schemeClr>
              </a:solidFill>
              <a:ln w="12700">
                <a:solidFill>
                  <a:schemeClr val="tx1"/>
                </a:solidFill>
              </a:ln>
              <a:effectLst/>
            </c:spPr>
            <c:extLst>
              <c:ext xmlns:c16="http://schemas.microsoft.com/office/drawing/2014/chart" uri="{C3380CC4-5D6E-409C-BE32-E72D297353CC}">
                <c16:uniqueId val="{00000001-1AF4-A049-8E1C-D16CC8FF2E49}"/>
              </c:ext>
            </c:extLst>
          </c:dPt>
          <c:dPt>
            <c:idx val="1"/>
            <c:bubble3D val="0"/>
            <c:spPr>
              <a:pattFill prst="wdDnDiag">
                <a:fgClr>
                  <a:schemeClr val="accent2">
                    <a:lumMod val="60000"/>
                    <a:lumOff val="40000"/>
                  </a:schemeClr>
                </a:fgClr>
                <a:bgClr>
                  <a:schemeClr val="bg1"/>
                </a:bgClr>
              </a:pattFill>
              <a:ln w="12700">
                <a:solidFill>
                  <a:schemeClr val="tx1"/>
                </a:solidFill>
              </a:ln>
              <a:effectLst/>
            </c:spPr>
            <c:extLst>
              <c:ext xmlns:c16="http://schemas.microsoft.com/office/drawing/2014/chart" uri="{C3380CC4-5D6E-409C-BE32-E72D297353CC}">
                <c16:uniqueId val="{00000003-1AF4-A049-8E1C-D16CC8FF2E49}"/>
              </c:ext>
            </c:extLst>
          </c:dPt>
          <c:dPt>
            <c:idx val="2"/>
            <c:bubble3D val="0"/>
            <c:spPr>
              <a:solidFill>
                <a:schemeClr val="accent2">
                  <a:lumMod val="75000"/>
                </a:schemeClr>
              </a:solidFill>
              <a:ln w="12700">
                <a:solidFill>
                  <a:schemeClr val="tx1"/>
                </a:solidFill>
              </a:ln>
              <a:effectLst/>
            </c:spPr>
            <c:extLst>
              <c:ext xmlns:c16="http://schemas.microsoft.com/office/drawing/2014/chart" uri="{C3380CC4-5D6E-409C-BE32-E72D297353CC}">
                <c16:uniqueId val="{00000005-1AF4-A049-8E1C-D16CC8FF2E49}"/>
              </c:ext>
            </c:extLst>
          </c:dPt>
          <c:dPt>
            <c:idx val="3"/>
            <c:bubble3D val="0"/>
            <c:spPr>
              <a:pattFill prst="wdDnDiag">
                <a:fgClr>
                  <a:schemeClr val="accent2">
                    <a:lumMod val="75000"/>
                  </a:schemeClr>
                </a:fgClr>
                <a:bgClr>
                  <a:schemeClr val="bg1"/>
                </a:bgClr>
              </a:pattFill>
              <a:ln w="12700">
                <a:solidFill>
                  <a:schemeClr val="tx1"/>
                </a:solidFill>
              </a:ln>
              <a:effectLst/>
            </c:spPr>
            <c:extLst>
              <c:ext xmlns:c16="http://schemas.microsoft.com/office/drawing/2014/chart" uri="{C3380CC4-5D6E-409C-BE32-E72D297353CC}">
                <c16:uniqueId val="{00000007-1AF4-A049-8E1C-D16CC8FF2E49}"/>
              </c:ext>
            </c:extLst>
          </c:dPt>
          <c:dPt>
            <c:idx val="4"/>
            <c:bubble3D val="0"/>
            <c:spPr>
              <a:solidFill>
                <a:schemeClr val="accent4"/>
              </a:solidFill>
              <a:ln w="12700">
                <a:solidFill>
                  <a:schemeClr val="tx1"/>
                </a:solidFill>
              </a:ln>
              <a:effectLst/>
            </c:spPr>
            <c:extLst>
              <c:ext xmlns:c16="http://schemas.microsoft.com/office/drawing/2014/chart" uri="{C3380CC4-5D6E-409C-BE32-E72D297353CC}">
                <c16:uniqueId val="{00000009-1AF4-A049-8E1C-D16CC8FF2E49}"/>
              </c:ext>
            </c:extLst>
          </c:dPt>
          <c:dPt>
            <c:idx val="5"/>
            <c:bubble3D val="0"/>
            <c:spPr>
              <a:pattFill prst="wdDnDiag">
                <a:fgClr>
                  <a:schemeClr val="accent4"/>
                </a:fgClr>
                <a:bgClr>
                  <a:schemeClr val="bg1"/>
                </a:bgClr>
              </a:pattFill>
              <a:ln w="12700">
                <a:solidFill>
                  <a:schemeClr val="tx1"/>
                </a:solidFill>
              </a:ln>
              <a:effectLst/>
            </c:spPr>
            <c:extLst>
              <c:ext xmlns:c16="http://schemas.microsoft.com/office/drawing/2014/chart" uri="{C3380CC4-5D6E-409C-BE32-E72D297353CC}">
                <c16:uniqueId val="{0000000B-1AF4-A049-8E1C-D16CC8FF2E49}"/>
              </c:ext>
            </c:extLst>
          </c:dPt>
          <c:dPt>
            <c:idx val="6"/>
            <c:bubble3D val="0"/>
            <c:spPr>
              <a:solidFill>
                <a:schemeClr val="bg1">
                  <a:lumMod val="95000"/>
                </a:schemeClr>
              </a:solidFill>
              <a:ln w="19050">
                <a:solidFill>
                  <a:schemeClr val="accent6">
                    <a:lumMod val="75000"/>
                  </a:schemeClr>
                </a:solidFill>
                <a:prstDash val="lgDashDot"/>
              </a:ln>
              <a:effectLst/>
            </c:spPr>
            <c:extLst>
              <c:ext xmlns:c16="http://schemas.microsoft.com/office/drawing/2014/chart" uri="{C3380CC4-5D6E-409C-BE32-E72D297353CC}">
                <c16:uniqueId val="{0000000D-1AF4-A049-8E1C-D16CC8FF2E49}"/>
              </c:ext>
            </c:extLst>
          </c:dPt>
          <c:dLbls>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1-1AF4-A049-8E1C-D16CC8FF2E49}"/>
                </c:ext>
              </c:extLst>
            </c:dLbl>
            <c:dLbl>
              <c:idx val="6"/>
              <c:layout>
                <c:manualLayout>
                  <c:x val="-0.12493037165649852"/>
                  <c:y val="9.2130050008809139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1AF4-A049-8E1C-D16CC8FF2E49}"/>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Sheet1!$K$12:$P$12</c:f>
              <c:numCache>
                <c:formatCode>0</c:formatCode>
                <c:ptCount val="6"/>
                <c:pt idx="0">
                  <c:v>447.67</c:v>
                </c:pt>
                <c:pt idx="1">
                  <c:v>127.33</c:v>
                </c:pt>
                <c:pt idx="2">
                  <c:v>48.53</c:v>
                </c:pt>
                <c:pt idx="3">
                  <c:v>10.15</c:v>
                </c:pt>
                <c:pt idx="4">
                  <c:v>38.92</c:v>
                </c:pt>
                <c:pt idx="5">
                  <c:v>8.9500000000000011</c:v>
                </c:pt>
              </c:numCache>
            </c:numRef>
          </c:val>
          <c:extLst>
            <c:ext xmlns:c16="http://schemas.microsoft.com/office/drawing/2014/chart" uri="{C3380CC4-5D6E-409C-BE32-E72D297353CC}">
              <c16:uniqueId val="{0000000E-1AF4-A049-8E1C-D16CC8FF2E49}"/>
            </c:ext>
          </c:extLst>
        </c:ser>
        <c:ser>
          <c:idx val="1"/>
          <c:order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10-1AF4-A049-8E1C-D16CC8FF2E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2-1AF4-A049-8E1C-D16CC8FF2E4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4-1AF4-A049-8E1C-D16CC8FF2E4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6-1AF4-A049-8E1C-D16CC8FF2E4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8-1AF4-A049-8E1C-D16CC8FF2E49}"/>
              </c:ext>
            </c:extLst>
          </c:dPt>
          <c:val>
            <c:numRef>
              <c:f>Sheet1!$A$4</c:f>
              <c:numCache>
                <c:formatCode>General</c:formatCode>
                <c:ptCount val="1"/>
                <c:pt idx="0">
                  <c:v>0</c:v>
                </c:pt>
              </c:numCache>
            </c:numRef>
          </c:val>
          <c:extLst>
            <c:ext xmlns:c16="http://schemas.microsoft.com/office/drawing/2014/chart" uri="{C3380CC4-5D6E-409C-BE32-E72D297353CC}">
              <c16:uniqueId val="{00000019-1AF4-A049-8E1C-D16CC8FF2E49}"/>
            </c:ext>
          </c:extLst>
        </c:ser>
        <c:dLbls>
          <c:showLegendKey val="0"/>
          <c:showVal val="0"/>
          <c:showCatName val="0"/>
          <c:showSerName val="0"/>
          <c:showPercent val="0"/>
          <c:showBubbleSize val="0"/>
          <c:showLeaderLines val="1"/>
        </c:dLbls>
        <c:gapWidth val="100"/>
        <c:splitType val="pos"/>
        <c:splitPos val="4"/>
        <c:secondPieSize val="62"/>
        <c:serLines>
          <c:spPr>
            <a:ln w="9525" cap="flat" cmpd="sng" algn="ctr">
              <a:solidFill>
                <a:schemeClr val="tx1">
                  <a:lumMod val="75000"/>
                  <a:lumOff val="25000"/>
                </a:schemeClr>
              </a:solidFill>
              <a:round/>
            </a:ln>
            <a:effectLst/>
          </c:spPr>
        </c:serLines>
      </c:ofPieChart>
      <c:spPr>
        <a:noFill/>
        <a:ln>
          <a:noFill/>
        </a:ln>
        <a:effectLst/>
      </c:spPr>
    </c:plotArea>
    <c:plotVisOnly val="1"/>
    <c:dispBlanksAs val="gap"/>
    <c:showDLblsOverMax val="0"/>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a:t>Selective, BHA-CS, no repeat among BHA+ </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8601907280509368E-3"/>
          <c:y val="0.15206929945826597"/>
          <c:w val="0.97911810013468759"/>
          <c:h val="0.8197278018494184"/>
        </c:manualLayout>
      </c:layout>
      <c:ofPieChart>
        <c:ofPieType val="bar"/>
        <c:varyColors val="1"/>
        <c:ser>
          <c:idx val="0"/>
          <c:order val="0"/>
          <c:spPr>
            <a:solidFill>
              <a:schemeClr val="accent1"/>
            </a:solidFill>
            <a:ln w="12700">
              <a:solidFill>
                <a:schemeClr val="tx1"/>
              </a:solidFill>
            </a:ln>
          </c:spPr>
          <c:dPt>
            <c:idx val="0"/>
            <c:bubble3D val="0"/>
            <c:spPr>
              <a:solidFill>
                <a:schemeClr val="accent4">
                  <a:lumMod val="60000"/>
                  <a:lumOff val="40000"/>
                </a:schemeClr>
              </a:solidFill>
              <a:ln w="12700">
                <a:solidFill>
                  <a:schemeClr val="tx1"/>
                </a:solidFill>
              </a:ln>
              <a:effectLst/>
            </c:spPr>
            <c:extLst>
              <c:ext xmlns:c16="http://schemas.microsoft.com/office/drawing/2014/chart" uri="{C3380CC4-5D6E-409C-BE32-E72D297353CC}">
                <c16:uniqueId val="{00000001-1AF4-A049-8E1C-D16CC8FF2E49}"/>
              </c:ext>
            </c:extLst>
          </c:dPt>
          <c:dPt>
            <c:idx val="1"/>
            <c:bubble3D val="0"/>
            <c:spPr>
              <a:pattFill prst="wdDnDiag">
                <a:fgClr>
                  <a:schemeClr val="accent2">
                    <a:lumMod val="60000"/>
                    <a:lumOff val="40000"/>
                  </a:schemeClr>
                </a:fgClr>
                <a:bgClr>
                  <a:schemeClr val="bg1"/>
                </a:bgClr>
              </a:pattFill>
              <a:ln w="12700">
                <a:solidFill>
                  <a:schemeClr val="tx1"/>
                </a:solidFill>
              </a:ln>
              <a:effectLst/>
            </c:spPr>
            <c:extLst>
              <c:ext xmlns:c16="http://schemas.microsoft.com/office/drawing/2014/chart" uri="{C3380CC4-5D6E-409C-BE32-E72D297353CC}">
                <c16:uniqueId val="{00000003-1AF4-A049-8E1C-D16CC8FF2E49}"/>
              </c:ext>
            </c:extLst>
          </c:dPt>
          <c:dPt>
            <c:idx val="2"/>
            <c:bubble3D val="0"/>
            <c:spPr>
              <a:solidFill>
                <a:schemeClr val="accent2">
                  <a:lumMod val="75000"/>
                </a:schemeClr>
              </a:solidFill>
              <a:ln w="12700">
                <a:solidFill>
                  <a:schemeClr val="tx1"/>
                </a:solidFill>
              </a:ln>
              <a:effectLst/>
            </c:spPr>
            <c:extLst>
              <c:ext xmlns:c16="http://schemas.microsoft.com/office/drawing/2014/chart" uri="{C3380CC4-5D6E-409C-BE32-E72D297353CC}">
                <c16:uniqueId val="{00000005-1AF4-A049-8E1C-D16CC8FF2E49}"/>
              </c:ext>
            </c:extLst>
          </c:dPt>
          <c:dPt>
            <c:idx val="3"/>
            <c:bubble3D val="0"/>
            <c:spPr>
              <a:pattFill prst="wdDnDiag">
                <a:fgClr>
                  <a:schemeClr val="accent2">
                    <a:lumMod val="75000"/>
                  </a:schemeClr>
                </a:fgClr>
                <a:bgClr>
                  <a:schemeClr val="bg1"/>
                </a:bgClr>
              </a:pattFill>
              <a:ln w="12700">
                <a:solidFill>
                  <a:schemeClr val="tx1"/>
                </a:solidFill>
              </a:ln>
              <a:effectLst/>
            </c:spPr>
            <c:extLst>
              <c:ext xmlns:c16="http://schemas.microsoft.com/office/drawing/2014/chart" uri="{C3380CC4-5D6E-409C-BE32-E72D297353CC}">
                <c16:uniqueId val="{00000007-1AF4-A049-8E1C-D16CC8FF2E49}"/>
              </c:ext>
            </c:extLst>
          </c:dPt>
          <c:dPt>
            <c:idx val="4"/>
            <c:bubble3D val="0"/>
            <c:spPr>
              <a:solidFill>
                <a:schemeClr val="accent4"/>
              </a:solidFill>
              <a:ln w="12700">
                <a:solidFill>
                  <a:schemeClr val="tx1"/>
                </a:solidFill>
              </a:ln>
              <a:effectLst/>
            </c:spPr>
            <c:extLst>
              <c:ext xmlns:c16="http://schemas.microsoft.com/office/drawing/2014/chart" uri="{C3380CC4-5D6E-409C-BE32-E72D297353CC}">
                <c16:uniqueId val="{00000009-1AF4-A049-8E1C-D16CC8FF2E49}"/>
              </c:ext>
            </c:extLst>
          </c:dPt>
          <c:dPt>
            <c:idx val="5"/>
            <c:bubble3D val="0"/>
            <c:spPr>
              <a:pattFill prst="wdDnDiag">
                <a:fgClr>
                  <a:schemeClr val="accent4"/>
                </a:fgClr>
                <a:bgClr>
                  <a:schemeClr val="bg1"/>
                </a:bgClr>
              </a:pattFill>
              <a:ln w="12700">
                <a:solidFill>
                  <a:schemeClr val="tx1"/>
                </a:solidFill>
              </a:ln>
              <a:effectLst/>
            </c:spPr>
            <c:extLst>
              <c:ext xmlns:c16="http://schemas.microsoft.com/office/drawing/2014/chart" uri="{C3380CC4-5D6E-409C-BE32-E72D297353CC}">
                <c16:uniqueId val="{0000000B-1AF4-A049-8E1C-D16CC8FF2E49}"/>
              </c:ext>
            </c:extLst>
          </c:dPt>
          <c:dPt>
            <c:idx val="6"/>
            <c:bubble3D val="0"/>
            <c:spPr>
              <a:solidFill>
                <a:schemeClr val="bg1">
                  <a:lumMod val="95000"/>
                </a:schemeClr>
              </a:solidFill>
              <a:ln w="19050">
                <a:solidFill>
                  <a:schemeClr val="accent6">
                    <a:lumMod val="75000"/>
                  </a:schemeClr>
                </a:solidFill>
                <a:prstDash val="lgDashDot"/>
              </a:ln>
              <a:effectLst/>
            </c:spPr>
            <c:extLst>
              <c:ext xmlns:c16="http://schemas.microsoft.com/office/drawing/2014/chart" uri="{C3380CC4-5D6E-409C-BE32-E72D297353CC}">
                <c16:uniqueId val="{0000000D-1AF4-A049-8E1C-D16CC8FF2E49}"/>
              </c:ext>
            </c:extLst>
          </c:dPt>
          <c:dLbls>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1-1AF4-A049-8E1C-D16CC8FF2E49}"/>
                </c:ext>
              </c:extLst>
            </c:dLbl>
            <c:dLbl>
              <c:idx val="6"/>
              <c:layout>
                <c:manualLayout>
                  <c:x val="-0.12493037165649852"/>
                  <c:y val="9.2130050008809139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1AF4-A049-8E1C-D16CC8FF2E49}"/>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Sheet1!$K$13:$P$13</c:f>
              <c:numCache>
                <c:formatCode>0</c:formatCode>
                <c:ptCount val="6"/>
                <c:pt idx="0">
                  <c:v>296.70999999999998</c:v>
                </c:pt>
                <c:pt idx="1">
                  <c:v>35.08</c:v>
                </c:pt>
                <c:pt idx="2">
                  <c:v>97.51</c:v>
                </c:pt>
                <c:pt idx="3">
                  <c:v>14.32</c:v>
                </c:pt>
                <c:pt idx="4">
                  <c:v>142</c:v>
                </c:pt>
                <c:pt idx="5">
                  <c:v>41.1</c:v>
                </c:pt>
              </c:numCache>
            </c:numRef>
          </c:val>
          <c:extLst>
            <c:ext xmlns:c16="http://schemas.microsoft.com/office/drawing/2014/chart" uri="{C3380CC4-5D6E-409C-BE32-E72D297353CC}">
              <c16:uniqueId val="{0000000E-1AF4-A049-8E1C-D16CC8FF2E49}"/>
            </c:ext>
          </c:extLst>
        </c:ser>
        <c:ser>
          <c:idx val="1"/>
          <c:order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10-1AF4-A049-8E1C-D16CC8FF2E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2-1AF4-A049-8E1C-D16CC8FF2E4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4-1AF4-A049-8E1C-D16CC8FF2E4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6-1AF4-A049-8E1C-D16CC8FF2E4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8-1AF4-A049-8E1C-D16CC8FF2E49}"/>
              </c:ext>
            </c:extLst>
          </c:dPt>
          <c:val>
            <c:numRef>
              <c:f>Sheet1!$A$4</c:f>
              <c:numCache>
                <c:formatCode>General</c:formatCode>
                <c:ptCount val="1"/>
                <c:pt idx="0">
                  <c:v>0</c:v>
                </c:pt>
              </c:numCache>
            </c:numRef>
          </c:val>
          <c:extLst>
            <c:ext xmlns:c16="http://schemas.microsoft.com/office/drawing/2014/chart" uri="{C3380CC4-5D6E-409C-BE32-E72D297353CC}">
              <c16:uniqueId val="{00000019-1AF4-A049-8E1C-D16CC8FF2E49}"/>
            </c:ext>
          </c:extLst>
        </c:ser>
        <c:dLbls>
          <c:showLegendKey val="0"/>
          <c:showVal val="0"/>
          <c:showCatName val="0"/>
          <c:showSerName val="0"/>
          <c:showPercent val="0"/>
          <c:showBubbleSize val="0"/>
          <c:showLeaderLines val="1"/>
        </c:dLbls>
        <c:gapWidth val="100"/>
        <c:splitType val="pos"/>
        <c:splitPos val="4"/>
        <c:secondPieSize val="62"/>
        <c:serLines>
          <c:spPr>
            <a:ln w="9525" cap="flat" cmpd="sng" algn="ctr">
              <a:solidFill>
                <a:schemeClr val="tx1">
                  <a:lumMod val="75000"/>
                  <a:lumOff val="25000"/>
                </a:schemeClr>
              </a:solidFill>
              <a:round/>
            </a:ln>
            <a:effectLst/>
          </c:spPr>
        </c:serLines>
      </c:ofPieChart>
      <c:spPr>
        <a:noFill/>
        <a:ln>
          <a:noFill/>
        </a:ln>
        <a:effectLst/>
      </c:spPr>
    </c:plotArea>
    <c:plotVisOnly val="1"/>
    <c:dispBlanksAs val="gap"/>
    <c:showDLblsOverMax val="0"/>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r>
              <a:rPr lang="en-US"/>
              <a:t>Reactive, BHA-GS </a:t>
            </a:r>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8601907280509368E-3"/>
          <c:y val="0.15206929945826597"/>
          <c:w val="0.97911810013468759"/>
          <c:h val="0.8197278018494184"/>
        </c:manualLayout>
      </c:layout>
      <c:ofPieChart>
        <c:ofPieType val="bar"/>
        <c:varyColors val="1"/>
        <c:ser>
          <c:idx val="0"/>
          <c:order val="0"/>
          <c:spPr>
            <a:solidFill>
              <a:schemeClr val="accent1"/>
            </a:solidFill>
            <a:ln w="12700">
              <a:solidFill>
                <a:schemeClr val="tx1"/>
              </a:solidFill>
            </a:ln>
          </c:spPr>
          <c:dPt>
            <c:idx val="0"/>
            <c:bubble3D val="0"/>
            <c:spPr>
              <a:solidFill>
                <a:schemeClr val="accent4">
                  <a:lumMod val="60000"/>
                  <a:lumOff val="40000"/>
                </a:schemeClr>
              </a:solidFill>
              <a:ln w="12700">
                <a:solidFill>
                  <a:schemeClr val="tx1"/>
                </a:solidFill>
              </a:ln>
              <a:effectLst/>
            </c:spPr>
            <c:extLst>
              <c:ext xmlns:c16="http://schemas.microsoft.com/office/drawing/2014/chart" uri="{C3380CC4-5D6E-409C-BE32-E72D297353CC}">
                <c16:uniqueId val="{00000001-1AF4-A049-8E1C-D16CC8FF2E49}"/>
              </c:ext>
            </c:extLst>
          </c:dPt>
          <c:dPt>
            <c:idx val="1"/>
            <c:bubble3D val="0"/>
            <c:spPr>
              <a:pattFill prst="wdDnDiag">
                <a:fgClr>
                  <a:schemeClr val="accent2">
                    <a:lumMod val="60000"/>
                    <a:lumOff val="40000"/>
                  </a:schemeClr>
                </a:fgClr>
                <a:bgClr>
                  <a:schemeClr val="bg1"/>
                </a:bgClr>
              </a:pattFill>
              <a:ln w="12700">
                <a:solidFill>
                  <a:schemeClr val="tx1"/>
                </a:solidFill>
              </a:ln>
              <a:effectLst/>
            </c:spPr>
            <c:extLst>
              <c:ext xmlns:c16="http://schemas.microsoft.com/office/drawing/2014/chart" uri="{C3380CC4-5D6E-409C-BE32-E72D297353CC}">
                <c16:uniqueId val="{00000003-1AF4-A049-8E1C-D16CC8FF2E49}"/>
              </c:ext>
            </c:extLst>
          </c:dPt>
          <c:dPt>
            <c:idx val="2"/>
            <c:bubble3D val="0"/>
            <c:spPr>
              <a:solidFill>
                <a:schemeClr val="accent2">
                  <a:lumMod val="75000"/>
                </a:schemeClr>
              </a:solidFill>
              <a:ln w="12700">
                <a:solidFill>
                  <a:schemeClr val="tx1"/>
                </a:solidFill>
              </a:ln>
              <a:effectLst/>
            </c:spPr>
            <c:extLst>
              <c:ext xmlns:c16="http://schemas.microsoft.com/office/drawing/2014/chart" uri="{C3380CC4-5D6E-409C-BE32-E72D297353CC}">
                <c16:uniqueId val="{00000005-1AF4-A049-8E1C-D16CC8FF2E49}"/>
              </c:ext>
            </c:extLst>
          </c:dPt>
          <c:dPt>
            <c:idx val="3"/>
            <c:bubble3D val="0"/>
            <c:spPr>
              <a:pattFill prst="wdDnDiag">
                <a:fgClr>
                  <a:schemeClr val="accent2">
                    <a:lumMod val="75000"/>
                  </a:schemeClr>
                </a:fgClr>
                <a:bgClr>
                  <a:schemeClr val="bg1"/>
                </a:bgClr>
              </a:pattFill>
              <a:ln w="12700">
                <a:solidFill>
                  <a:schemeClr val="tx1"/>
                </a:solidFill>
              </a:ln>
              <a:effectLst/>
            </c:spPr>
            <c:extLst>
              <c:ext xmlns:c16="http://schemas.microsoft.com/office/drawing/2014/chart" uri="{C3380CC4-5D6E-409C-BE32-E72D297353CC}">
                <c16:uniqueId val="{00000007-1AF4-A049-8E1C-D16CC8FF2E49}"/>
              </c:ext>
            </c:extLst>
          </c:dPt>
          <c:dPt>
            <c:idx val="4"/>
            <c:bubble3D val="0"/>
            <c:spPr>
              <a:solidFill>
                <a:schemeClr val="accent4"/>
              </a:solidFill>
              <a:ln w="12700">
                <a:solidFill>
                  <a:schemeClr val="tx1"/>
                </a:solidFill>
              </a:ln>
              <a:effectLst/>
            </c:spPr>
            <c:extLst>
              <c:ext xmlns:c16="http://schemas.microsoft.com/office/drawing/2014/chart" uri="{C3380CC4-5D6E-409C-BE32-E72D297353CC}">
                <c16:uniqueId val="{00000009-1AF4-A049-8E1C-D16CC8FF2E49}"/>
              </c:ext>
            </c:extLst>
          </c:dPt>
          <c:dPt>
            <c:idx val="5"/>
            <c:bubble3D val="0"/>
            <c:spPr>
              <a:pattFill prst="wdDnDiag">
                <a:fgClr>
                  <a:schemeClr val="accent4"/>
                </a:fgClr>
                <a:bgClr>
                  <a:schemeClr val="bg1"/>
                </a:bgClr>
              </a:pattFill>
              <a:ln w="12700">
                <a:solidFill>
                  <a:schemeClr val="tx1"/>
                </a:solidFill>
              </a:ln>
              <a:effectLst/>
            </c:spPr>
            <c:extLst>
              <c:ext xmlns:c16="http://schemas.microsoft.com/office/drawing/2014/chart" uri="{C3380CC4-5D6E-409C-BE32-E72D297353CC}">
                <c16:uniqueId val="{0000000B-1AF4-A049-8E1C-D16CC8FF2E49}"/>
              </c:ext>
            </c:extLst>
          </c:dPt>
          <c:dPt>
            <c:idx val="6"/>
            <c:bubble3D val="0"/>
            <c:spPr>
              <a:solidFill>
                <a:schemeClr val="bg1">
                  <a:lumMod val="95000"/>
                </a:schemeClr>
              </a:solidFill>
              <a:ln w="19050">
                <a:solidFill>
                  <a:schemeClr val="accent6">
                    <a:lumMod val="75000"/>
                  </a:schemeClr>
                </a:solidFill>
                <a:prstDash val="lgDashDot"/>
              </a:ln>
              <a:effectLst/>
            </c:spPr>
            <c:extLst>
              <c:ext xmlns:c16="http://schemas.microsoft.com/office/drawing/2014/chart" uri="{C3380CC4-5D6E-409C-BE32-E72D297353CC}">
                <c16:uniqueId val="{0000000D-1AF4-A049-8E1C-D16CC8FF2E49}"/>
              </c:ext>
            </c:extLst>
          </c:dPt>
          <c:dLbls>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1-1AF4-A049-8E1C-D16CC8FF2E49}"/>
                </c:ext>
              </c:extLst>
            </c:dLbl>
            <c:dLbl>
              <c:idx val="6"/>
              <c:layout>
                <c:manualLayout>
                  <c:x val="-0.12493037165649852"/>
                  <c:y val="9.2130050008809139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1AF4-A049-8E1C-D16CC8FF2E49}"/>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Sheet1!$K$8:$P$8</c:f>
              <c:numCache>
                <c:formatCode>0</c:formatCode>
                <c:ptCount val="6"/>
                <c:pt idx="0">
                  <c:v>645.84608813269745</c:v>
                </c:pt>
                <c:pt idx="1">
                  <c:v>192.73866305972805</c:v>
                </c:pt>
                <c:pt idx="2">
                  <c:v>83.491136897558206</c:v>
                </c:pt>
                <c:pt idx="3">
                  <c:v>9.6960205025984205</c:v>
                </c:pt>
                <c:pt idx="4">
                  <c:v>55.584822382003274</c:v>
                </c:pt>
                <c:pt idx="5">
                  <c:v>12.64326902541468</c:v>
                </c:pt>
              </c:numCache>
            </c:numRef>
          </c:val>
          <c:extLst>
            <c:ext xmlns:c16="http://schemas.microsoft.com/office/drawing/2014/chart" uri="{C3380CC4-5D6E-409C-BE32-E72D297353CC}">
              <c16:uniqueId val="{0000000E-1AF4-A049-8E1C-D16CC8FF2E49}"/>
            </c:ext>
          </c:extLst>
        </c:ser>
        <c:ser>
          <c:idx val="1"/>
          <c:order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10-1AF4-A049-8E1C-D16CC8FF2E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2-1AF4-A049-8E1C-D16CC8FF2E4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4-1AF4-A049-8E1C-D16CC8FF2E4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6-1AF4-A049-8E1C-D16CC8FF2E4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8-1AF4-A049-8E1C-D16CC8FF2E49}"/>
              </c:ext>
            </c:extLst>
          </c:dPt>
          <c:val>
            <c:numRef>
              <c:f>Sheet1!$A$4</c:f>
              <c:numCache>
                <c:formatCode>General</c:formatCode>
                <c:ptCount val="1"/>
                <c:pt idx="0">
                  <c:v>0</c:v>
                </c:pt>
              </c:numCache>
            </c:numRef>
          </c:val>
          <c:extLst>
            <c:ext xmlns:c16="http://schemas.microsoft.com/office/drawing/2014/chart" uri="{C3380CC4-5D6E-409C-BE32-E72D297353CC}">
              <c16:uniqueId val="{00000019-1AF4-A049-8E1C-D16CC8FF2E49}"/>
            </c:ext>
          </c:extLst>
        </c:ser>
        <c:dLbls>
          <c:showLegendKey val="0"/>
          <c:showVal val="0"/>
          <c:showCatName val="0"/>
          <c:showSerName val="0"/>
          <c:showPercent val="0"/>
          <c:showBubbleSize val="0"/>
          <c:showLeaderLines val="1"/>
        </c:dLbls>
        <c:gapWidth val="100"/>
        <c:splitType val="pos"/>
        <c:splitPos val="4"/>
        <c:secondPieSize val="62"/>
        <c:serLines>
          <c:spPr>
            <a:ln w="9525" cap="flat" cmpd="sng" algn="ctr">
              <a:solidFill>
                <a:schemeClr val="tx1">
                  <a:lumMod val="75000"/>
                  <a:lumOff val="25000"/>
                </a:schemeClr>
              </a:solidFill>
              <a:round/>
            </a:ln>
            <a:effectLst/>
          </c:spPr>
        </c:serLines>
      </c:ofPieChart>
      <c:spPr>
        <a:noFill/>
        <a:ln>
          <a:noFill/>
        </a:ln>
        <a:effectLst/>
      </c:spPr>
    </c:plotArea>
    <c:plotVisOnly val="1"/>
    <c:dispBlanksAs val="gap"/>
    <c:showDLblsOverMax val="0"/>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r>
              <a:rPr lang="en-US"/>
              <a:t>Selective, BHA-GS </a:t>
            </a:r>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8601907280509368E-3"/>
          <c:y val="0.15206929945826597"/>
          <c:w val="0.97911810013468759"/>
          <c:h val="0.8197278018494184"/>
        </c:manualLayout>
      </c:layout>
      <c:ofPieChart>
        <c:ofPieType val="bar"/>
        <c:varyColors val="1"/>
        <c:ser>
          <c:idx val="0"/>
          <c:order val="0"/>
          <c:spPr>
            <a:solidFill>
              <a:schemeClr val="accent1"/>
            </a:solidFill>
            <a:ln w="12700">
              <a:solidFill>
                <a:schemeClr val="tx1"/>
              </a:solidFill>
            </a:ln>
          </c:spPr>
          <c:dPt>
            <c:idx val="0"/>
            <c:bubble3D val="0"/>
            <c:spPr>
              <a:solidFill>
                <a:schemeClr val="accent4">
                  <a:lumMod val="60000"/>
                  <a:lumOff val="40000"/>
                </a:schemeClr>
              </a:solidFill>
              <a:ln w="12700">
                <a:solidFill>
                  <a:schemeClr val="tx1"/>
                </a:solidFill>
              </a:ln>
              <a:effectLst/>
            </c:spPr>
            <c:extLst>
              <c:ext xmlns:c16="http://schemas.microsoft.com/office/drawing/2014/chart" uri="{C3380CC4-5D6E-409C-BE32-E72D297353CC}">
                <c16:uniqueId val="{00000001-1AF4-A049-8E1C-D16CC8FF2E49}"/>
              </c:ext>
            </c:extLst>
          </c:dPt>
          <c:dPt>
            <c:idx val="1"/>
            <c:bubble3D val="0"/>
            <c:spPr>
              <a:pattFill prst="wdDnDiag">
                <a:fgClr>
                  <a:schemeClr val="accent2">
                    <a:lumMod val="60000"/>
                    <a:lumOff val="40000"/>
                  </a:schemeClr>
                </a:fgClr>
                <a:bgClr>
                  <a:schemeClr val="bg1"/>
                </a:bgClr>
              </a:pattFill>
              <a:ln w="12700">
                <a:solidFill>
                  <a:schemeClr val="tx1"/>
                </a:solidFill>
              </a:ln>
              <a:effectLst/>
            </c:spPr>
            <c:extLst>
              <c:ext xmlns:c16="http://schemas.microsoft.com/office/drawing/2014/chart" uri="{C3380CC4-5D6E-409C-BE32-E72D297353CC}">
                <c16:uniqueId val="{00000003-1AF4-A049-8E1C-D16CC8FF2E49}"/>
              </c:ext>
            </c:extLst>
          </c:dPt>
          <c:dPt>
            <c:idx val="2"/>
            <c:bubble3D val="0"/>
            <c:spPr>
              <a:solidFill>
                <a:schemeClr val="accent2">
                  <a:lumMod val="75000"/>
                </a:schemeClr>
              </a:solidFill>
              <a:ln w="12700">
                <a:solidFill>
                  <a:schemeClr val="tx1"/>
                </a:solidFill>
              </a:ln>
              <a:effectLst/>
            </c:spPr>
            <c:extLst>
              <c:ext xmlns:c16="http://schemas.microsoft.com/office/drawing/2014/chart" uri="{C3380CC4-5D6E-409C-BE32-E72D297353CC}">
                <c16:uniqueId val="{00000005-1AF4-A049-8E1C-D16CC8FF2E49}"/>
              </c:ext>
            </c:extLst>
          </c:dPt>
          <c:dPt>
            <c:idx val="3"/>
            <c:bubble3D val="0"/>
            <c:spPr>
              <a:pattFill prst="wdDnDiag">
                <a:fgClr>
                  <a:schemeClr val="accent2">
                    <a:lumMod val="75000"/>
                  </a:schemeClr>
                </a:fgClr>
                <a:bgClr>
                  <a:schemeClr val="bg1"/>
                </a:bgClr>
              </a:pattFill>
              <a:ln w="12700">
                <a:solidFill>
                  <a:schemeClr val="tx1"/>
                </a:solidFill>
              </a:ln>
              <a:effectLst/>
            </c:spPr>
            <c:extLst>
              <c:ext xmlns:c16="http://schemas.microsoft.com/office/drawing/2014/chart" uri="{C3380CC4-5D6E-409C-BE32-E72D297353CC}">
                <c16:uniqueId val="{00000007-1AF4-A049-8E1C-D16CC8FF2E49}"/>
              </c:ext>
            </c:extLst>
          </c:dPt>
          <c:dPt>
            <c:idx val="4"/>
            <c:bubble3D val="0"/>
            <c:spPr>
              <a:solidFill>
                <a:schemeClr val="accent4"/>
              </a:solidFill>
              <a:ln w="12700">
                <a:solidFill>
                  <a:schemeClr val="tx1"/>
                </a:solidFill>
              </a:ln>
              <a:effectLst/>
            </c:spPr>
            <c:extLst>
              <c:ext xmlns:c16="http://schemas.microsoft.com/office/drawing/2014/chart" uri="{C3380CC4-5D6E-409C-BE32-E72D297353CC}">
                <c16:uniqueId val="{00000009-1AF4-A049-8E1C-D16CC8FF2E49}"/>
              </c:ext>
            </c:extLst>
          </c:dPt>
          <c:dPt>
            <c:idx val="5"/>
            <c:bubble3D val="0"/>
            <c:spPr>
              <a:pattFill prst="wdDnDiag">
                <a:fgClr>
                  <a:schemeClr val="accent4"/>
                </a:fgClr>
                <a:bgClr>
                  <a:schemeClr val="bg1"/>
                </a:bgClr>
              </a:pattFill>
              <a:ln w="12700">
                <a:solidFill>
                  <a:schemeClr val="tx1"/>
                </a:solidFill>
              </a:ln>
              <a:effectLst/>
            </c:spPr>
            <c:extLst>
              <c:ext xmlns:c16="http://schemas.microsoft.com/office/drawing/2014/chart" uri="{C3380CC4-5D6E-409C-BE32-E72D297353CC}">
                <c16:uniqueId val="{0000000B-1AF4-A049-8E1C-D16CC8FF2E49}"/>
              </c:ext>
            </c:extLst>
          </c:dPt>
          <c:dPt>
            <c:idx val="6"/>
            <c:bubble3D val="0"/>
            <c:spPr>
              <a:solidFill>
                <a:schemeClr val="bg1">
                  <a:lumMod val="95000"/>
                </a:schemeClr>
              </a:solidFill>
              <a:ln w="19050">
                <a:solidFill>
                  <a:schemeClr val="accent6">
                    <a:lumMod val="75000"/>
                  </a:schemeClr>
                </a:solidFill>
                <a:prstDash val="lgDashDot"/>
              </a:ln>
              <a:effectLst/>
            </c:spPr>
            <c:extLst>
              <c:ext xmlns:c16="http://schemas.microsoft.com/office/drawing/2014/chart" uri="{C3380CC4-5D6E-409C-BE32-E72D297353CC}">
                <c16:uniqueId val="{0000000D-1AF4-A049-8E1C-D16CC8FF2E49}"/>
              </c:ext>
            </c:extLst>
          </c:dPt>
          <c:dLbls>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1-1AF4-A049-8E1C-D16CC8FF2E49}"/>
                </c:ext>
              </c:extLst>
            </c:dLbl>
            <c:dLbl>
              <c:idx val="6"/>
              <c:layout>
                <c:manualLayout>
                  <c:x val="-0.12493037165649852"/>
                  <c:y val="9.2130050008809139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1AF4-A049-8E1C-D16CC8FF2E49}"/>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Sheet1!$K$9:$P$9</c:f>
              <c:numCache>
                <c:formatCode>0</c:formatCode>
                <c:ptCount val="6"/>
                <c:pt idx="0">
                  <c:v>452.03958140528226</c:v>
                </c:pt>
                <c:pt idx="1">
                  <c:v>59.82772122161316</c:v>
                </c:pt>
                <c:pt idx="2">
                  <c:v>203.50252723001353</c:v>
                </c:pt>
                <c:pt idx="3">
                  <c:v>15.234569659001922</c:v>
                </c:pt>
                <c:pt idx="4">
                  <c:v>216.01765501530576</c:v>
                </c:pt>
                <c:pt idx="5">
                  <c:v>53.377945468783373</c:v>
                </c:pt>
              </c:numCache>
            </c:numRef>
          </c:val>
          <c:extLst>
            <c:ext xmlns:c16="http://schemas.microsoft.com/office/drawing/2014/chart" uri="{C3380CC4-5D6E-409C-BE32-E72D297353CC}">
              <c16:uniqueId val="{0000000E-1AF4-A049-8E1C-D16CC8FF2E49}"/>
            </c:ext>
          </c:extLst>
        </c:ser>
        <c:ser>
          <c:idx val="1"/>
          <c:order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10-1AF4-A049-8E1C-D16CC8FF2E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2-1AF4-A049-8E1C-D16CC8FF2E4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4-1AF4-A049-8E1C-D16CC8FF2E4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6-1AF4-A049-8E1C-D16CC8FF2E4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8-1AF4-A049-8E1C-D16CC8FF2E49}"/>
              </c:ext>
            </c:extLst>
          </c:dPt>
          <c:val>
            <c:numRef>
              <c:f>Sheet1!$A$4</c:f>
              <c:numCache>
                <c:formatCode>General</c:formatCode>
                <c:ptCount val="1"/>
                <c:pt idx="0">
                  <c:v>0</c:v>
                </c:pt>
              </c:numCache>
            </c:numRef>
          </c:val>
          <c:extLst>
            <c:ext xmlns:c16="http://schemas.microsoft.com/office/drawing/2014/chart" uri="{C3380CC4-5D6E-409C-BE32-E72D297353CC}">
              <c16:uniqueId val="{00000019-1AF4-A049-8E1C-D16CC8FF2E49}"/>
            </c:ext>
          </c:extLst>
        </c:ser>
        <c:dLbls>
          <c:showLegendKey val="0"/>
          <c:showVal val="0"/>
          <c:showCatName val="0"/>
          <c:showSerName val="0"/>
          <c:showPercent val="0"/>
          <c:showBubbleSize val="0"/>
          <c:showLeaderLines val="1"/>
        </c:dLbls>
        <c:gapWidth val="100"/>
        <c:splitType val="pos"/>
        <c:splitPos val="4"/>
        <c:secondPieSize val="62"/>
        <c:serLines>
          <c:spPr>
            <a:ln w="9525" cap="flat" cmpd="sng" algn="ctr">
              <a:solidFill>
                <a:schemeClr val="tx1">
                  <a:lumMod val="75000"/>
                  <a:lumOff val="25000"/>
                </a:schemeClr>
              </a:solidFill>
              <a:round/>
            </a:ln>
            <a:effectLst/>
          </c:spPr>
        </c:serLines>
      </c:ofPieChart>
      <c:spPr>
        <a:noFill/>
        <a:ln>
          <a:noFill/>
        </a:ln>
        <a:effectLst/>
      </c:spPr>
    </c:plotArea>
    <c:plotVisOnly val="1"/>
    <c:dispBlanksAs val="gap"/>
    <c:showDLblsOverMax val="0"/>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r>
              <a:rPr lang="en-US"/>
              <a:t>Universal, BHA-GS </a:t>
            </a:r>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8601907280509368E-3"/>
          <c:y val="0.15206929945826597"/>
          <c:w val="0.97911810013468759"/>
          <c:h val="0.8197278018494184"/>
        </c:manualLayout>
      </c:layout>
      <c:ofPieChart>
        <c:ofPieType val="bar"/>
        <c:varyColors val="1"/>
        <c:ser>
          <c:idx val="0"/>
          <c:order val="0"/>
          <c:spPr>
            <a:solidFill>
              <a:schemeClr val="accent1"/>
            </a:solidFill>
            <a:ln w="12700">
              <a:solidFill>
                <a:schemeClr val="tx1"/>
              </a:solidFill>
            </a:ln>
          </c:spPr>
          <c:dPt>
            <c:idx val="0"/>
            <c:bubble3D val="0"/>
            <c:spPr>
              <a:solidFill>
                <a:schemeClr val="accent4">
                  <a:lumMod val="60000"/>
                  <a:lumOff val="40000"/>
                </a:schemeClr>
              </a:solidFill>
              <a:ln w="12700">
                <a:solidFill>
                  <a:schemeClr val="tx1"/>
                </a:solidFill>
              </a:ln>
              <a:effectLst/>
            </c:spPr>
            <c:extLst>
              <c:ext xmlns:c16="http://schemas.microsoft.com/office/drawing/2014/chart" uri="{C3380CC4-5D6E-409C-BE32-E72D297353CC}">
                <c16:uniqueId val="{00000001-1AF4-A049-8E1C-D16CC8FF2E49}"/>
              </c:ext>
            </c:extLst>
          </c:dPt>
          <c:dPt>
            <c:idx val="1"/>
            <c:bubble3D val="0"/>
            <c:spPr>
              <a:pattFill prst="wdDnDiag">
                <a:fgClr>
                  <a:schemeClr val="accent2">
                    <a:lumMod val="60000"/>
                    <a:lumOff val="40000"/>
                  </a:schemeClr>
                </a:fgClr>
                <a:bgClr>
                  <a:schemeClr val="bg1"/>
                </a:bgClr>
              </a:pattFill>
              <a:ln w="12700">
                <a:solidFill>
                  <a:schemeClr val="tx1"/>
                </a:solidFill>
              </a:ln>
              <a:effectLst/>
            </c:spPr>
            <c:extLst>
              <c:ext xmlns:c16="http://schemas.microsoft.com/office/drawing/2014/chart" uri="{C3380CC4-5D6E-409C-BE32-E72D297353CC}">
                <c16:uniqueId val="{00000003-1AF4-A049-8E1C-D16CC8FF2E49}"/>
              </c:ext>
            </c:extLst>
          </c:dPt>
          <c:dPt>
            <c:idx val="2"/>
            <c:bubble3D val="0"/>
            <c:spPr>
              <a:solidFill>
                <a:schemeClr val="accent2">
                  <a:lumMod val="75000"/>
                </a:schemeClr>
              </a:solidFill>
              <a:ln w="12700">
                <a:solidFill>
                  <a:schemeClr val="tx1"/>
                </a:solidFill>
              </a:ln>
              <a:effectLst/>
            </c:spPr>
            <c:extLst>
              <c:ext xmlns:c16="http://schemas.microsoft.com/office/drawing/2014/chart" uri="{C3380CC4-5D6E-409C-BE32-E72D297353CC}">
                <c16:uniqueId val="{00000005-1AF4-A049-8E1C-D16CC8FF2E49}"/>
              </c:ext>
            </c:extLst>
          </c:dPt>
          <c:dPt>
            <c:idx val="3"/>
            <c:bubble3D val="0"/>
            <c:spPr>
              <a:pattFill prst="wdDnDiag">
                <a:fgClr>
                  <a:schemeClr val="accent2">
                    <a:lumMod val="75000"/>
                  </a:schemeClr>
                </a:fgClr>
                <a:bgClr>
                  <a:schemeClr val="bg1"/>
                </a:bgClr>
              </a:pattFill>
              <a:ln w="12700">
                <a:solidFill>
                  <a:schemeClr val="tx1"/>
                </a:solidFill>
              </a:ln>
              <a:effectLst/>
            </c:spPr>
            <c:extLst>
              <c:ext xmlns:c16="http://schemas.microsoft.com/office/drawing/2014/chart" uri="{C3380CC4-5D6E-409C-BE32-E72D297353CC}">
                <c16:uniqueId val="{00000007-1AF4-A049-8E1C-D16CC8FF2E49}"/>
              </c:ext>
            </c:extLst>
          </c:dPt>
          <c:dPt>
            <c:idx val="4"/>
            <c:bubble3D val="0"/>
            <c:spPr>
              <a:solidFill>
                <a:schemeClr val="accent4"/>
              </a:solidFill>
              <a:ln w="12700">
                <a:solidFill>
                  <a:schemeClr val="tx1"/>
                </a:solidFill>
              </a:ln>
              <a:effectLst/>
            </c:spPr>
            <c:extLst>
              <c:ext xmlns:c16="http://schemas.microsoft.com/office/drawing/2014/chart" uri="{C3380CC4-5D6E-409C-BE32-E72D297353CC}">
                <c16:uniqueId val="{00000009-1AF4-A049-8E1C-D16CC8FF2E49}"/>
              </c:ext>
            </c:extLst>
          </c:dPt>
          <c:dPt>
            <c:idx val="5"/>
            <c:bubble3D val="0"/>
            <c:spPr>
              <a:pattFill prst="wdDnDiag">
                <a:fgClr>
                  <a:schemeClr val="accent4"/>
                </a:fgClr>
                <a:bgClr>
                  <a:schemeClr val="bg1"/>
                </a:bgClr>
              </a:pattFill>
              <a:ln w="12700">
                <a:solidFill>
                  <a:schemeClr val="tx1"/>
                </a:solidFill>
              </a:ln>
              <a:effectLst/>
            </c:spPr>
            <c:extLst>
              <c:ext xmlns:c16="http://schemas.microsoft.com/office/drawing/2014/chart" uri="{C3380CC4-5D6E-409C-BE32-E72D297353CC}">
                <c16:uniqueId val="{0000000B-1AF4-A049-8E1C-D16CC8FF2E49}"/>
              </c:ext>
            </c:extLst>
          </c:dPt>
          <c:dPt>
            <c:idx val="6"/>
            <c:bubble3D val="0"/>
            <c:spPr>
              <a:solidFill>
                <a:schemeClr val="bg1">
                  <a:lumMod val="95000"/>
                </a:schemeClr>
              </a:solidFill>
              <a:ln w="19050">
                <a:solidFill>
                  <a:schemeClr val="accent6">
                    <a:lumMod val="75000"/>
                  </a:schemeClr>
                </a:solidFill>
                <a:prstDash val="lgDashDot"/>
              </a:ln>
              <a:effectLst/>
            </c:spPr>
            <c:extLst>
              <c:ext xmlns:c16="http://schemas.microsoft.com/office/drawing/2014/chart" uri="{C3380CC4-5D6E-409C-BE32-E72D297353CC}">
                <c16:uniqueId val="{0000000D-1AF4-A049-8E1C-D16CC8FF2E49}"/>
              </c:ext>
            </c:extLst>
          </c:dPt>
          <c:dLbls>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1-1AF4-A049-8E1C-D16CC8FF2E49}"/>
                </c:ext>
              </c:extLst>
            </c:dLbl>
            <c:dLbl>
              <c:idx val="6"/>
              <c:layout>
                <c:manualLayout>
                  <c:x val="-0.12493037165649852"/>
                  <c:y val="9.2130050008809139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1AF4-A049-8E1C-D16CC8FF2E49}"/>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Sheet1!$K$10:$P$10</c:f>
              <c:numCache>
                <c:formatCode>0</c:formatCode>
                <c:ptCount val="6"/>
                <c:pt idx="0">
                  <c:v>0</c:v>
                </c:pt>
                <c:pt idx="1">
                  <c:v>0</c:v>
                </c:pt>
                <c:pt idx="2">
                  <c:v>288.93002064497756</c:v>
                </c:pt>
                <c:pt idx="3">
                  <c:v>5.4815974941268601</c:v>
                </c:pt>
                <c:pt idx="4">
                  <c:v>177.71766213426355</c:v>
                </c:pt>
                <c:pt idx="5">
                  <c:v>527.87071972663205</c:v>
                </c:pt>
              </c:numCache>
            </c:numRef>
          </c:val>
          <c:extLst>
            <c:ext xmlns:c16="http://schemas.microsoft.com/office/drawing/2014/chart" uri="{C3380CC4-5D6E-409C-BE32-E72D297353CC}">
              <c16:uniqueId val="{0000000E-1AF4-A049-8E1C-D16CC8FF2E49}"/>
            </c:ext>
          </c:extLst>
        </c:ser>
        <c:ser>
          <c:idx val="1"/>
          <c:order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10-1AF4-A049-8E1C-D16CC8FF2E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2-1AF4-A049-8E1C-D16CC8FF2E4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4-1AF4-A049-8E1C-D16CC8FF2E4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6-1AF4-A049-8E1C-D16CC8FF2E4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8-1AF4-A049-8E1C-D16CC8FF2E49}"/>
              </c:ext>
            </c:extLst>
          </c:dPt>
          <c:val>
            <c:numRef>
              <c:f>Sheet1!$A$4</c:f>
              <c:numCache>
                <c:formatCode>General</c:formatCode>
                <c:ptCount val="1"/>
                <c:pt idx="0">
                  <c:v>0</c:v>
                </c:pt>
              </c:numCache>
            </c:numRef>
          </c:val>
          <c:extLst>
            <c:ext xmlns:c16="http://schemas.microsoft.com/office/drawing/2014/chart" uri="{C3380CC4-5D6E-409C-BE32-E72D297353CC}">
              <c16:uniqueId val="{00000019-1AF4-A049-8E1C-D16CC8FF2E49}"/>
            </c:ext>
          </c:extLst>
        </c:ser>
        <c:dLbls>
          <c:showLegendKey val="0"/>
          <c:showVal val="0"/>
          <c:showCatName val="0"/>
          <c:showSerName val="0"/>
          <c:showPercent val="0"/>
          <c:showBubbleSize val="0"/>
          <c:showLeaderLines val="1"/>
        </c:dLbls>
        <c:gapWidth val="100"/>
        <c:splitType val="pos"/>
        <c:splitPos val="4"/>
        <c:secondPieSize val="62"/>
        <c:serLines>
          <c:spPr>
            <a:ln w="9525" cap="flat" cmpd="sng" algn="ctr">
              <a:solidFill>
                <a:schemeClr val="tx1">
                  <a:lumMod val="75000"/>
                  <a:lumOff val="25000"/>
                </a:schemeClr>
              </a:solidFill>
              <a:round/>
            </a:ln>
            <a:effectLst/>
          </c:spPr>
        </c:serLines>
      </c:ofPieChart>
      <c:spPr>
        <a:noFill/>
        <a:ln>
          <a:noFill/>
        </a:ln>
        <a:effectLst/>
      </c:spPr>
    </c:plotArea>
    <c:plotVisOnly val="1"/>
    <c:dispBlanksAs val="gap"/>
    <c:showDLblsOverMax val="0"/>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679450</xdr:colOff>
      <xdr:row>18</xdr:row>
      <xdr:rowOff>101600</xdr:rowOff>
    </xdr:from>
    <xdr:to>
      <xdr:col>6</xdr:col>
      <xdr:colOff>69850</xdr:colOff>
      <xdr:row>32</xdr:row>
      <xdr:rowOff>0</xdr:rowOff>
    </xdr:to>
    <xdr:graphicFrame macro="">
      <xdr:nvGraphicFramePr>
        <xdr:cNvPr id="2" name="Chart 1">
          <a:extLst>
            <a:ext uri="{FF2B5EF4-FFF2-40B4-BE49-F238E27FC236}">
              <a16:creationId xmlns:a16="http://schemas.microsoft.com/office/drawing/2014/main" id="{0D993FD3-021E-7302-81FC-944DA02C7A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469900</xdr:colOff>
      <xdr:row>18</xdr:row>
      <xdr:rowOff>127000</xdr:rowOff>
    </xdr:from>
    <xdr:to>
      <xdr:col>13</xdr:col>
      <xdr:colOff>88900</xdr:colOff>
      <xdr:row>32</xdr:row>
      <xdr:rowOff>25400</xdr:rowOff>
    </xdr:to>
    <xdr:graphicFrame macro="">
      <xdr:nvGraphicFramePr>
        <xdr:cNvPr id="5" name="Chart 4">
          <a:extLst>
            <a:ext uri="{FF2B5EF4-FFF2-40B4-BE49-F238E27FC236}">
              <a16:creationId xmlns:a16="http://schemas.microsoft.com/office/drawing/2014/main" id="{D2E204F7-C67A-E64E-8120-5514D6330A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504372</xdr:colOff>
      <xdr:row>18</xdr:row>
      <xdr:rowOff>88900</xdr:rowOff>
    </xdr:from>
    <xdr:to>
      <xdr:col>19</xdr:col>
      <xdr:colOff>123372</xdr:colOff>
      <xdr:row>31</xdr:row>
      <xdr:rowOff>190500</xdr:rowOff>
    </xdr:to>
    <xdr:graphicFrame macro="">
      <xdr:nvGraphicFramePr>
        <xdr:cNvPr id="6" name="Chart 5">
          <a:extLst>
            <a:ext uri="{FF2B5EF4-FFF2-40B4-BE49-F238E27FC236}">
              <a16:creationId xmlns:a16="http://schemas.microsoft.com/office/drawing/2014/main" id="{2773FC7F-0CA9-0641-AF9E-31F1BE7124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716643</xdr:colOff>
      <xdr:row>63</xdr:row>
      <xdr:rowOff>83458</xdr:rowOff>
    </xdr:from>
    <xdr:to>
      <xdr:col>14</xdr:col>
      <xdr:colOff>818243</xdr:colOff>
      <xdr:row>73</xdr:row>
      <xdr:rowOff>108857</xdr:rowOff>
    </xdr:to>
    <xdr:sp macro="" textlink="">
      <xdr:nvSpPr>
        <xdr:cNvPr id="7" name="TextBox 6">
          <a:extLst>
            <a:ext uri="{FF2B5EF4-FFF2-40B4-BE49-F238E27FC236}">
              <a16:creationId xmlns:a16="http://schemas.microsoft.com/office/drawing/2014/main" id="{6B946151-B70B-3A93-8950-30A64073C7AA}"/>
            </a:ext>
          </a:extLst>
        </xdr:cNvPr>
        <xdr:cNvSpPr txBox="1"/>
      </xdr:nvSpPr>
      <xdr:spPr>
        <a:xfrm>
          <a:off x="2594429" y="12456887"/>
          <a:ext cx="9182100" cy="20211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10</a:t>
          </a:r>
          <a:r>
            <a:rPr lang="en-US" sz="1100" b="1" baseline="0"/>
            <a:t>-year cumulative BHA testing results for those alive at age 70, by scenario. </a:t>
          </a:r>
          <a:r>
            <a:rPr lang="en-US" sz="1100" b="0" baseline="0"/>
            <a:t>Individuals are considered not tested if they are never tested between age 70 and age 79 or death (whichever happens first). Those who remain healthy throughout this period are considered default TRUE NEGATIVE. Those who ever develop impairment wihtin this period are considered default FALSE NEGATIVE.</a:t>
          </a:r>
          <a:br>
            <a:rPr lang="en-US" sz="1100" b="0" baseline="0"/>
          </a:br>
          <a:r>
            <a:rPr lang="en-US" sz="1100" b="0" baseline="0"/>
            <a:t>Individuals who ever receive a test are further split into four groups. Those who were ever BHA-positive and ever impaired are considered true positive (even if the positive test was obtained while healthy). Those who were ever BHA-positive yet were never cognitively impaired are considered false positive. Those who ever had a negative BHA, never a positive BHA, and were always healthy are considered true negative. Those who ever had a negative BHA, never a positive BHA, and ever developed impairment were considered false negatives (even if the negative result was obtained before impairment occurred).</a:t>
          </a:r>
          <a:br>
            <a:rPr lang="en-US" sz="1100" b="0" baseline="0"/>
          </a:br>
          <a:br>
            <a:rPr lang="en-US" sz="1100" b="0" baseline="0"/>
          </a:br>
          <a:r>
            <a:rPr lang="en-US" sz="1100" b="0" baseline="0"/>
            <a:t>Compared to single year testing, there are a lot more FP in the universal strategy, and a lot fewer TN. When you repeat testing, there is a greater chance that that someone will get at least one FP than if you were only testing once (due to imperfect specificity). </a:t>
          </a:r>
          <a:endParaRPr lang="en-US" sz="1100" b="1"/>
        </a:p>
      </xdr:txBody>
    </xdr:sp>
    <xdr:clientData/>
  </xdr:twoCellAnchor>
  <xdr:twoCellAnchor>
    <xdr:from>
      <xdr:col>13</xdr:col>
      <xdr:colOff>498928</xdr:colOff>
      <xdr:row>46</xdr:row>
      <xdr:rowOff>126999</xdr:rowOff>
    </xdr:from>
    <xdr:to>
      <xdr:col>19</xdr:col>
      <xdr:colOff>117928</xdr:colOff>
      <xdr:row>60</xdr:row>
      <xdr:rowOff>29028</xdr:rowOff>
    </xdr:to>
    <xdr:graphicFrame macro="">
      <xdr:nvGraphicFramePr>
        <xdr:cNvPr id="4" name="Chart 3">
          <a:extLst>
            <a:ext uri="{FF2B5EF4-FFF2-40B4-BE49-F238E27FC236}">
              <a16:creationId xmlns:a16="http://schemas.microsoft.com/office/drawing/2014/main" id="{E451FFC1-92B9-EF47-B494-E8772C5F25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689429</xdr:colOff>
      <xdr:row>46</xdr:row>
      <xdr:rowOff>154213</xdr:rowOff>
    </xdr:from>
    <xdr:to>
      <xdr:col>6</xdr:col>
      <xdr:colOff>79829</xdr:colOff>
      <xdr:row>60</xdr:row>
      <xdr:rowOff>52613</xdr:rowOff>
    </xdr:to>
    <xdr:graphicFrame macro="">
      <xdr:nvGraphicFramePr>
        <xdr:cNvPr id="8" name="Chart 7">
          <a:extLst>
            <a:ext uri="{FF2B5EF4-FFF2-40B4-BE49-F238E27FC236}">
              <a16:creationId xmlns:a16="http://schemas.microsoft.com/office/drawing/2014/main" id="{DB8B50E0-B36C-E444-9449-05E5A8181F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453572</xdr:colOff>
      <xdr:row>46</xdr:row>
      <xdr:rowOff>145141</xdr:rowOff>
    </xdr:from>
    <xdr:to>
      <xdr:col>13</xdr:col>
      <xdr:colOff>70758</xdr:colOff>
      <xdr:row>60</xdr:row>
      <xdr:rowOff>43542</xdr:rowOff>
    </xdr:to>
    <xdr:graphicFrame macro="">
      <xdr:nvGraphicFramePr>
        <xdr:cNvPr id="9" name="Chart 8">
          <a:extLst>
            <a:ext uri="{FF2B5EF4-FFF2-40B4-BE49-F238E27FC236}">
              <a16:creationId xmlns:a16="http://schemas.microsoft.com/office/drawing/2014/main" id="{21AA172C-70D3-5F44-B02E-37A25244DC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689430</xdr:colOff>
      <xdr:row>32</xdr:row>
      <xdr:rowOff>136072</xdr:rowOff>
    </xdr:from>
    <xdr:to>
      <xdr:col>6</xdr:col>
      <xdr:colOff>79830</xdr:colOff>
      <xdr:row>46</xdr:row>
      <xdr:rowOff>34471</xdr:rowOff>
    </xdr:to>
    <xdr:graphicFrame macro="">
      <xdr:nvGraphicFramePr>
        <xdr:cNvPr id="10" name="Chart 9">
          <a:extLst>
            <a:ext uri="{FF2B5EF4-FFF2-40B4-BE49-F238E27FC236}">
              <a16:creationId xmlns:a16="http://schemas.microsoft.com/office/drawing/2014/main" id="{F31083B7-67EF-8444-8A8A-106BD4F63F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462643</xdr:colOff>
      <xdr:row>32</xdr:row>
      <xdr:rowOff>172357</xdr:rowOff>
    </xdr:from>
    <xdr:to>
      <xdr:col>13</xdr:col>
      <xdr:colOff>79829</xdr:colOff>
      <xdr:row>46</xdr:row>
      <xdr:rowOff>70756</xdr:rowOff>
    </xdr:to>
    <xdr:graphicFrame macro="">
      <xdr:nvGraphicFramePr>
        <xdr:cNvPr id="11" name="Chart 10">
          <a:extLst>
            <a:ext uri="{FF2B5EF4-FFF2-40B4-BE49-F238E27FC236}">
              <a16:creationId xmlns:a16="http://schemas.microsoft.com/office/drawing/2014/main" id="{A2C1D8CC-AEC5-6645-B5F0-1A5CE83335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498929</xdr:colOff>
      <xdr:row>32</xdr:row>
      <xdr:rowOff>145143</xdr:rowOff>
    </xdr:from>
    <xdr:to>
      <xdr:col>19</xdr:col>
      <xdr:colOff>116115</xdr:colOff>
      <xdr:row>46</xdr:row>
      <xdr:rowOff>43544</xdr:rowOff>
    </xdr:to>
    <xdr:graphicFrame macro="">
      <xdr:nvGraphicFramePr>
        <xdr:cNvPr id="12" name="Chart 11">
          <a:extLst>
            <a:ext uri="{FF2B5EF4-FFF2-40B4-BE49-F238E27FC236}">
              <a16:creationId xmlns:a16="http://schemas.microsoft.com/office/drawing/2014/main" id="{1FF137C6-41B5-774F-A32C-507AA76944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CE02C-DBC0-6B44-A335-55C332C21024}">
  <dimension ref="A1:AB33"/>
  <sheetViews>
    <sheetView tabSelected="1" topLeftCell="A2" zoomScale="140" zoomScaleNormal="140" workbookViewId="0">
      <selection activeCell="Y24" sqref="Y24"/>
    </sheetView>
  </sheetViews>
  <sheetFormatPr baseColWidth="10" defaultRowHeight="16" x14ac:dyDescent="0.2"/>
  <cols>
    <col min="1" max="1" width="13.83203125" customWidth="1"/>
    <col min="10" max="10" width="7" customWidth="1"/>
    <col min="22" max="22" width="37.83203125" customWidth="1"/>
    <col min="23" max="25" width="13.33203125" customWidth="1"/>
    <col min="26" max="26" width="13.83203125" customWidth="1"/>
    <col min="27" max="27" width="13.33203125" customWidth="1"/>
    <col min="28" max="28" width="12" customWidth="1"/>
  </cols>
  <sheetData>
    <row r="1" spans="1:18" x14ac:dyDescent="0.2">
      <c r="K1" t="s">
        <v>2</v>
      </c>
    </row>
    <row r="2" spans="1:18" x14ac:dyDescent="0.2">
      <c r="A2" s="3" t="s">
        <v>0</v>
      </c>
      <c r="B2" s="1" t="s">
        <v>3</v>
      </c>
      <c r="C2" s="1" t="s">
        <v>4</v>
      </c>
      <c r="D2" s="1" t="s">
        <v>5</v>
      </c>
      <c r="E2" s="1" t="s">
        <v>6</v>
      </c>
      <c r="F2" s="1" t="s">
        <v>7</v>
      </c>
      <c r="G2" s="1" t="s">
        <v>8</v>
      </c>
      <c r="H2" s="1" t="s">
        <v>1</v>
      </c>
      <c r="I2" s="1" t="s">
        <v>18</v>
      </c>
      <c r="K2" s="1" t="s">
        <v>3</v>
      </c>
      <c r="L2" s="1" t="s">
        <v>4</v>
      </c>
      <c r="M2" s="1" t="s">
        <v>5</v>
      </c>
      <c r="N2" s="1" t="s">
        <v>6</v>
      </c>
      <c r="O2" s="1" t="s">
        <v>7</v>
      </c>
      <c r="P2" s="1" t="s">
        <v>8</v>
      </c>
      <c r="Q2" s="1" t="s">
        <v>1</v>
      </c>
      <c r="R2" s="2"/>
    </row>
    <row r="3" spans="1:18" x14ac:dyDescent="0.2">
      <c r="A3" s="3"/>
      <c r="B3" s="1"/>
      <c r="C3" s="1"/>
      <c r="D3" s="1"/>
      <c r="E3" s="1"/>
      <c r="F3" s="1"/>
      <c r="G3" s="1"/>
      <c r="H3" s="1"/>
      <c r="K3" s="1"/>
      <c r="L3" s="1"/>
      <c r="M3" s="1"/>
      <c r="N3" s="1"/>
      <c r="O3" s="1"/>
      <c r="P3" s="1"/>
      <c r="Q3" s="1"/>
      <c r="R3" s="2"/>
    </row>
    <row r="4" spans="1:18" x14ac:dyDescent="0.2">
      <c r="A4" s="3" t="s">
        <v>10</v>
      </c>
      <c r="B4" s="4">
        <v>45361</v>
      </c>
      <c r="C4" s="4">
        <v>13537</v>
      </c>
      <c r="D4" s="4">
        <v>5463</v>
      </c>
      <c r="E4" s="4">
        <v>1082</v>
      </c>
      <c r="F4" s="4">
        <v>3938</v>
      </c>
      <c r="G4" s="4">
        <v>854</v>
      </c>
      <c r="H4" s="5">
        <f>SUM(D4:G4)</f>
        <v>11337</v>
      </c>
      <c r="I4">
        <f>1000/$H$6</f>
        <v>1.4237915569160675E-2</v>
      </c>
      <c r="K4" s="4">
        <f>B4*$I4</f>
        <v>645.84608813269745</v>
      </c>
      <c r="L4" s="4">
        <f t="shared" ref="L4:P4" si="0">C4*$I4</f>
        <v>192.73866305972805</v>
      </c>
      <c r="M4" s="4">
        <f t="shared" si="0"/>
        <v>77.781732754324764</v>
      </c>
      <c r="N4" s="4">
        <f t="shared" si="0"/>
        <v>15.40542464583185</v>
      </c>
      <c r="O4" s="4">
        <f t="shared" si="0"/>
        <v>56.068911511354742</v>
      </c>
      <c r="P4" s="4">
        <f t="shared" si="0"/>
        <v>12.159179896063216</v>
      </c>
      <c r="Q4" s="5">
        <f>SUM(M4:P4)</f>
        <v>161.41524880757459</v>
      </c>
    </row>
    <row r="5" spans="1:18" x14ac:dyDescent="0.2">
      <c r="A5" s="3" t="s">
        <v>11</v>
      </c>
      <c r="B5" s="4">
        <v>31749</v>
      </c>
      <c r="C5" s="4">
        <v>4202</v>
      </c>
      <c r="D5" s="4">
        <v>13592</v>
      </c>
      <c r="E5" s="4">
        <v>1771</v>
      </c>
      <c r="F5" s="4">
        <v>15236</v>
      </c>
      <c r="G5" s="4">
        <v>3685</v>
      </c>
      <c r="H5" s="5">
        <f t="shared" ref="H5:H14" si="1">SUM(D5:G5)</f>
        <v>34284</v>
      </c>
      <c r="I5">
        <f t="shared" ref="I5:I6" si="2">1000/$H$6</f>
        <v>1.4237915569160675E-2</v>
      </c>
      <c r="K5" s="4">
        <f t="shared" ref="K5:K14" si="3">B5*$I5</f>
        <v>452.03958140528226</v>
      </c>
      <c r="L5" s="4">
        <f t="shared" ref="L5:L14" si="4">C5*$I5</f>
        <v>59.82772122161316</v>
      </c>
      <c r="M5" s="4">
        <f t="shared" ref="M5:M14" si="5">D5*$I5</f>
        <v>193.5217484160319</v>
      </c>
      <c r="N5" s="4">
        <f t="shared" ref="N5:N14" si="6">E5*$I5</f>
        <v>25.215348472983557</v>
      </c>
      <c r="O5" s="4">
        <f t="shared" ref="O5:O14" si="7">F5*$I5</f>
        <v>216.92888161173204</v>
      </c>
      <c r="P5" s="4">
        <f t="shared" ref="P5:P14" si="8">G5*$I5</f>
        <v>52.466718872357092</v>
      </c>
      <c r="Q5" s="5">
        <f t="shared" ref="Q5:Q6" si="9">SUM(M5:P5)</f>
        <v>488.13269737310458</v>
      </c>
    </row>
    <row r="6" spans="1:18" x14ac:dyDescent="0.2">
      <c r="A6" s="3" t="s">
        <v>12</v>
      </c>
      <c r="B6" s="4">
        <v>0</v>
      </c>
      <c r="C6" s="4">
        <v>0</v>
      </c>
      <c r="D6" s="4">
        <v>20059</v>
      </c>
      <c r="E6" s="4">
        <v>619</v>
      </c>
      <c r="F6" s="4">
        <v>12439</v>
      </c>
      <c r="G6" s="4">
        <v>37118</v>
      </c>
      <c r="H6" s="5">
        <f t="shared" si="1"/>
        <v>70235</v>
      </c>
      <c r="I6">
        <f t="shared" si="2"/>
        <v>1.4237915569160675E-2</v>
      </c>
      <c r="K6" s="4">
        <f t="shared" si="3"/>
        <v>0</v>
      </c>
      <c r="L6" s="4">
        <f t="shared" si="4"/>
        <v>0</v>
      </c>
      <c r="M6" s="4">
        <f t="shared" si="5"/>
        <v>285.598348401794</v>
      </c>
      <c r="N6" s="4">
        <f t="shared" si="6"/>
        <v>8.813269737310458</v>
      </c>
      <c r="O6" s="4">
        <f t="shared" si="7"/>
        <v>177.10543176478964</v>
      </c>
      <c r="P6" s="4">
        <f t="shared" si="8"/>
        <v>528.48295009610592</v>
      </c>
      <c r="Q6" s="5">
        <f t="shared" si="9"/>
        <v>1000</v>
      </c>
    </row>
    <row r="7" spans="1:18" x14ac:dyDescent="0.2">
      <c r="K7" s="4"/>
      <c r="L7" s="4"/>
      <c r="M7" s="4"/>
      <c r="N7" s="4"/>
      <c r="O7" s="4"/>
      <c r="P7" s="4"/>
    </row>
    <row r="8" spans="1:18" x14ac:dyDescent="0.2">
      <c r="A8" s="3" t="s">
        <v>17</v>
      </c>
      <c r="B8" s="4">
        <v>45361</v>
      </c>
      <c r="C8" s="4">
        <v>13537</v>
      </c>
      <c r="D8" s="4">
        <v>5864</v>
      </c>
      <c r="E8" s="4">
        <v>681</v>
      </c>
      <c r="F8" s="4">
        <v>3904</v>
      </c>
      <c r="G8" s="4">
        <v>888</v>
      </c>
      <c r="H8" s="5">
        <f>SUM(D8:G8)</f>
        <v>11337</v>
      </c>
      <c r="I8">
        <f>1000/$H$10</f>
        <v>1.4237915569160675E-2</v>
      </c>
      <c r="K8" s="4">
        <f>B8*$I8</f>
        <v>645.84608813269745</v>
      </c>
      <c r="L8" s="4">
        <f>C8*$I8</f>
        <v>192.73866305972805</v>
      </c>
      <c r="M8" s="4">
        <f>D8*$I8</f>
        <v>83.491136897558206</v>
      </c>
      <c r="N8" s="4">
        <f>E8*$I8</f>
        <v>9.6960205025984205</v>
      </c>
      <c r="O8" s="4">
        <f>F8*$I8</f>
        <v>55.584822382003274</v>
      </c>
      <c r="P8" s="4">
        <f>G8*$I8</f>
        <v>12.64326902541468</v>
      </c>
      <c r="Q8" s="5">
        <f>SUM(M8:P8)</f>
        <v>161.41524880757456</v>
      </c>
    </row>
    <row r="9" spans="1:18" x14ac:dyDescent="0.2">
      <c r="A9" s="3" t="s">
        <v>16</v>
      </c>
      <c r="B9" s="4">
        <v>31749</v>
      </c>
      <c r="C9" s="4">
        <v>4202</v>
      </c>
      <c r="D9" s="4">
        <v>14293</v>
      </c>
      <c r="E9" s="4">
        <v>1070</v>
      </c>
      <c r="F9" s="4">
        <v>15172</v>
      </c>
      <c r="G9" s="4">
        <v>3749</v>
      </c>
      <c r="H9" s="5">
        <f t="shared" ref="H9:H10" si="10">SUM(D9:G9)</f>
        <v>34284</v>
      </c>
      <c r="I9">
        <f t="shared" ref="I9:I10" si="11">1000/$H$10</f>
        <v>1.4237915569160675E-2</v>
      </c>
      <c r="K9" s="4">
        <f>B9*$I9</f>
        <v>452.03958140528226</v>
      </c>
      <c r="L9" s="4">
        <f>C9*$I9</f>
        <v>59.82772122161316</v>
      </c>
      <c r="M9" s="4">
        <f>D9*$I9</f>
        <v>203.50252723001353</v>
      </c>
      <c r="N9" s="4">
        <f>E9*$I9</f>
        <v>15.234569659001922</v>
      </c>
      <c r="O9" s="4">
        <f>F9*$I9</f>
        <v>216.01765501530576</v>
      </c>
      <c r="P9" s="4">
        <f>G9*$I9</f>
        <v>53.377945468783373</v>
      </c>
      <c r="Q9" s="5">
        <f t="shared" ref="Q9:Q10" si="12">SUM(M9:P9)</f>
        <v>488.13269737310458</v>
      </c>
    </row>
    <row r="10" spans="1:18" x14ac:dyDescent="0.2">
      <c r="A10" s="3" t="s">
        <v>9</v>
      </c>
      <c r="B10" s="4">
        <v>0</v>
      </c>
      <c r="C10" s="4">
        <v>0</v>
      </c>
      <c r="D10" s="4">
        <v>20293</v>
      </c>
      <c r="E10" s="4">
        <v>385</v>
      </c>
      <c r="F10" s="4">
        <v>12482</v>
      </c>
      <c r="G10" s="4">
        <v>37075</v>
      </c>
      <c r="H10" s="5">
        <f t="shared" si="10"/>
        <v>70235</v>
      </c>
      <c r="I10">
        <f t="shared" si="11"/>
        <v>1.4237915569160675E-2</v>
      </c>
      <c r="K10" s="4">
        <f>B10*$I10</f>
        <v>0</v>
      </c>
      <c r="L10" s="4">
        <f>C10*$I10</f>
        <v>0</v>
      </c>
      <c r="M10" s="4">
        <f>D10*$I10</f>
        <v>288.93002064497756</v>
      </c>
      <c r="N10" s="4">
        <f>E10*$I10</f>
        <v>5.4815974941268601</v>
      </c>
      <c r="O10" s="4">
        <f>F10*$I10</f>
        <v>177.71766213426355</v>
      </c>
      <c r="P10" s="4">
        <f>G10*$I10</f>
        <v>527.87071972663205</v>
      </c>
      <c r="Q10" s="5">
        <f t="shared" si="12"/>
        <v>1000</v>
      </c>
    </row>
    <row r="11" spans="1:18" x14ac:dyDescent="0.2">
      <c r="A11" s="3"/>
      <c r="B11" s="4"/>
      <c r="C11" s="4"/>
      <c r="D11" s="4"/>
      <c r="E11" s="4"/>
      <c r="F11" s="4"/>
      <c r="G11" s="4"/>
      <c r="H11" s="5"/>
      <c r="K11" s="4"/>
      <c r="L11" s="4"/>
      <c r="M11" s="4"/>
      <c r="N11" s="4"/>
      <c r="O11" s="4"/>
      <c r="P11" s="4"/>
      <c r="Q11" s="5"/>
    </row>
    <row r="12" spans="1:18" x14ac:dyDescent="0.2">
      <c r="A12" s="3" t="s">
        <v>13</v>
      </c>
      <c r="B12" s="4">
        <v>44767</v>
      </c>
      <c r="C12" s="4">
        <v>12733</v>
      </c>
      <c r="D12" s="4">
        <v>4853</v>
      </c>
      <c r="E12" s="4">
        <v>1015</v>
      </c>
      <c r="F12" s="4">
        <v>3892</v>
      </c>
      <c r="G12" s="4">
        <v>895</v>
      </c>
      <c r="H12" s="5">
        <f>SUM(D12:G12)</f>
        <v>10655</v>
      </c>
      <c r="I12" s="6">
        <f>1000/100000</f>
        <v>0.01</v>
      </c>
      <c r="K12" s="4">
        <f t="shared" si="3"/>
        <v>447.67</v>
      </c>
      <c r="L12" s="4">
        <f t="shared" si="4"/>
        <v>127.33</v>
      </c>
      <c r="M12" s="4">
        <f t="shared" si="5"/>
        <v>48.53</v>
      </c>
      <c r="N12" s="4">
        <f t="shared" si="6"/>
        <v>10.15</v>
      </c>
      <c r="O12" s="4">
        <f t="shared" si="7"/>
        <v>38.92</v>
      </c>
      <c r="P12" s="4">
        <f t="shared" si="8"/>
        <v>8.9500000000000011</v>
      </c>
      <c r="Q12" s="5">
        <f>SUM(M12:P12)</f>
        <v>106.55</v>
      </c>
    </row>
    <row r="13" spans="1:18" x14ac:dyDescent="0.2">
      <c r="A13" s="3" t="s">
        <v>14</v>
      </c>
      <c r="B13" s="4">
        <v>29671</v>
      </c>
      <c r="C13" s="4">
        <v>3508</v>
      </c>
      <c r="D13" s="4">
        <v>9751</v>
      </c>
      <c r="E13" s="4">
        <v>1432</v>
      </c>
      <c r="F13" s="4">
        <v>14200</v>
      </c>
      <c r="G13" s="4">
        <v>4110</v>
      </c>
      <c r="H13" s="5">
        <f t="shared" si="1"/>
        <v>29493</v>
      </c>
      <c r="I13" s="6">
        <f t="shared" ref="I13:I14" si="13">1000/100000</f>
        <v>0.01</v>
      </c>
      <c r="K13" s="4">
        <f t="shared" si="3"/>
        <v>296.70999999999998</v>
      </c>
      <c r="L13" s="4">
        <f t="shared" si="4"/>
        <v>35.08</v>
      </c>
      <c r="M13" s="4">
        <f t="shared" si="5"/>
        <v>97.51</v>
      </c>
      <c r="N13" s="4">
        <f t="shared" si="6"/>
        <v>14.32</v>
      </c>
      <c r="O13" s="4">
        <f t="shared" si="7"/>
        <v>142</v>
      </c>
      <c r="P13" s="4">
        <f t="shared" si="8"/>
        <v>41.1</v>
      </c>
      <c r="Q13" s="5">
        <f t="shared" ref="Q13:Q14" si="14">SUM(M13:P13)</f>
        <v>294.93</v>
      </c>
    </row>
    <row r="14" spans="1:18" x14ac:dyDescent="0.2">
      <c r="A14" s="3" t="s">
        <v>15</v>
      </c>
      <c r="B14" s="4">
        <v>0</v>
      </c>
      <c r="C14" s="4">
        <v>0</v>
      </c>
      <c r="D14" s="4">
        <v>1124</v>
      </c>
      <c r="E14" s="4">
        <v>103</v>
      </c>
      <c r="F14" s="4">
        <v>3412</v>
      </c>
      <c r="G14" s="4">
        <v>12797</v>
      </c>
      <c r="H14" s="5">
        <f t="shared" si="1"/>
        <v>17436</v>
      </c>
      <c r="I14" s="6">
        <f t="shared" si="13"/>
        <v>0.01</v>
      </c>
      <c r="K14" s="4">
        <f t="shared" si="3"/>
        <v>0</v>
      </c>
      <c r="L14" s="4">
        <f t="shared" si="4"/>
        <v>0</v>
      </c>
      <c r="M14" s="4">
        <f t="shared" si="5"/>
        <v>11.24</v>
      </c>
      <c r="N14" s="4">
        <f t="shared" si="6"/>
        <v>1.03</v>
      </c>
      <c r="O14" s="4">
        <f t="shared" si="7"/>
        <v>34.119999999999997</v>
      </c>
      <c r="P14" s="4">
        <f t="shared" si="8"/>
        <v>127.97</v>
      </c>
      <c r="Q14" s="5">
        <f t="shared" si="14"/>
        <v>174.36</v>
      </c>
    </row>
    <row r="15" spans="1:18" x14ac:dyDescent="0.2">
      <c r="A15" s="3"/>
      <c r="B15" s="4"/>
      <c r="C15" s="4"/>
      <c r="D15" s="4"/>
      <c r="E15" s="4"/>
      <c r="F15" s="4"/>
      <c r="G15" s="4"/>
      <c r="H15" s="5"/>
      <c r="K15" s="4"/>
      <c r="L15" s="4"/>
      <c r="M15" s="4"/>
      <c r="N15" s="4"/>
      <c r="O15" s="4"/>
      <c r="P15" s="4"/>
      <c r="Q15" s="5"/>
    </row>
    <row r="16" spans="1:18" x14ac:dyDescent="0.2">
      <c r="A16" s="3"/>
      <c r="B16" s="4"/>
      <c r="C16" s="4"/>
      <c r="D16" s="4"/>
      <c r="E16" s="4"/>
      <c r="F16" s="4"/>
      <c r="G16" s="4"/>
      <c r="H16" s="5"/>
      <c r="K16" s="4"/>
      <c r="L16" s="4"/>
      <c r="M16" s="4"/>
      <c r="N16" s="4"/>
      <c r="O16" s="4"/>
      <c r="P16" s="4"/>
      <c r="Q16" s="5"/>
    </row>
    <row r="17" spans="1:28" x14ac:dyDescent="0.2">
      <c r="A17" s="3"/>
      <c r="B17" s="4"/>
      <c r="C17" s="4"/>
      <c r="D17" s="4"/>
      <c r="E17" s="4"/>
      <c r="F17" s="4"/>
      <c r="G17" s="4"/>
      <c r="H17" s="5"/>
      <c r="K17" s="4"/>
      <c r="L17" s="4"/>
      <c r="M17" s="4"/>
      <c r="N17" s="4"/>
      <c r="O17" s="4"/>
      <c r="P17" s="4"/>
      <c r="Q17" s="5"/>
    </row>
    <row r="18" spans="1:28" x14ac:dyDescent="0.2">
      <c r="A18" s="3"/>
      <c r="B18" s="4"/>
      <c r="C18" s="4"/>
      <c r="D18" s="4"/>
      <c r="E18" s="4"/>
      <c r="F18" s="4"/>
      <c r="G18" s="4"/>
      <c r="H18" s="5"/>
    </row>
    <row r="19" spans="1:28" ht="34" customHeight="1" x14ac:dyDescent="0.2">
      <c r="A19" s="3"/>
      <c r="B19" s="4"/>
      <c r="C19" s="4"/>
      <c r="D19" s="4"/>
      <c r="E19" s="4"/>
      <c r="F19" s="4"/>
      <c r="G19" s="4"/>
      <c r="H19" s="5"/>
      <c r="V19" s="7"/>
      <c r="W19" s="10" t="s">
        <v>19</v>
      </c>
      <c r="X19" s="10"/>
      <c r="Y19" s="9" t="s">
        <v>20</v>
      </c>
      <c r="Z19" s="9"/>
      <c r="AA19" s="9" t="s">
        <v>21</v>
      </c>
      <c r="AB19" s="9"/>
    </row>
    <row r="20" spans="1:28" x14ac:dyDescent="0.2">
      <c r="A20" s="3"/>
      <c r="B20" s="4"/>
      <c r="C20" s="4"/>
      <c r="D20" s="4"/>
      <c r="E20" s="4"/>
      <c r="F20" s="4"/>
      <c r="G20" s="4"/>
      <c r="H20" s="5"/>
      <c r="V20" s="9" t="s">
        <v>0</v>
      </c>
      <c r="W20" t="s">
        <v>22</v>
      </c>
      <c r="X20" t="s">
        <v>23</v>
      </c>
      <c r="Y20" t="s">
        <v>22</v>
      </c>
      <c r="Z20" t="s">
        <v>25</v>
      </c>
      <c r="AA20" t="s">
        <v>22</v>
      </c>
      <c r="AB20" t="s">
        <v>24</v>
      </c>
    </row>
    <row r="21" spans="1:28" x14ac:dyDescent="0.2">
      <c r="A21" s="3"/>
      <c r="B21" s="4"/>
      <c r="C21" s="4"/>
      <c r="D21" s="4"/>
      <c r="E21" s="4"/>
      <c r="F21" s="4"/>
      <c r="G21" s="4"/>
      <c r="H21" s="5"/>
      <c r="V21" s="9"/>
      <c r="W21" s="7"/>
      <c r="X21" s="7"/>
      <c r="Y21" s="7"/>
      <c r="Z21" s="7"/>
      <c r="AA21" s="7"/>
    </row>
    <row r="22" spans="1:28" x14ac:dyDescent="0.2">
      <c r="A22" s="3"/>
      <c r="B22" s="4"/>
      <c r="C22" s="4"/>
      <c r="D22" s="4"/>
      <c r="E22" s="4"/>
      <c r="F22" s="4"/>
      <c r="G22" s="4"/>
      <c r="H22" s="5"/>
      <c r="V22" s="8" t="s">
        <v>10</v>
      </c>
      <c r="W22" s="7">
        <v>8777</v>
      </c>
      <c r="X22" s="12">
        <f>W22/H4</f>
        <v>0.77419070300785042</v>
      </c>
      <c r="Y22" s="7">
        <v>37</v>
      </c>
      <c r="Z22" s="12">
        <f>Y22 / (F4+Y22)</f>
        <v>9.3081761006289301E-3</v>
      </c>
      <c r="AA22" s="7">
        <v>382</v>
      </c>
      <c r="AB22" s="12">
        <f>AA22/D4</f>
        <v>6.9924949661358232E-2</v>
      </c>
    </row>
    <row r="23" spans="1:28" x14ac:dyDescent="0.2">
      <c r="A23" s="3"/>
      <c r="B23" s="4"/>
      <c r="C23" s="4"/>
      <c r="D23" s="4"/>
      <c r="E23" s="4"/>
      <c r="F23" s="4"/>
      <c r="G23" s="4"/>
      <c r="H23" s="5"/>
      <c r="V23" s="8" t="s">
        <v>11</v>
      </c>
      <c r="W23" s="7">
        <v>23778</v>
      </c>
      <c r="X23" s="12">
        <f t="shared" ref="X23:X32" si="15">W23/H5</f>
        <v>0.69355967798389917</v>
      </c>
      <c r="Y23" s="7">
        <v>722</v>
      </c>
      <c r="Z23" s="12">
        <f t="shared" ref="Z23:Z24" si="16">Y23 / (F5+Y23)</f>
        <v>4.5243764882817394E-2</v>
      </c>
      <c r="AA23" s="7">
        <v>3370</v>
      </c>
      <c r="AB23" s="12">
        <f t="shared" ref="AB23:AB32" si="17">AA23/D5</f>
        <v>0.2479399646851089</v>
      </c>
    </row>
    <row r="24" spans="1:28" x14ac:dyDescent="0.2">
      <c r="A24" s="3"/>
      <c r="B24" s="4"/>
      <c r="C24" s="4"/>
      <c r="D24" s="4"/>
      <c r="E24" s="4"/>
      <c r="F24" s="4"/>
      <c r="G24" s="4"/>
      <c r="H24" s="5"/>
      <c r="V24" s="8" t="s">
        <v>12</v>
      </c>
      <c r="W24" s="7">
        <v>16207</v>
      </c>
      <c r="X24" s="12">
        <f t="shared" si="15"/>
        <v>0.23075389762938706</v>
      </c>
      <c r="Y24" s="7">
        <v>40850</v>
      </c>
      <c r="Z24" s="12">
        <f t="shared" si="16"/>
        <v>0.76657471523203669</v>
      </c>
      <c r="AA24" s="7">
        <v>7378</v>
      </c>
      <c r="AB24" s="12">
        <f t="shared" si="17"/>
        <v>0.36781494590956676</v>
      </c>
    </row>
    <row r="25" spans="1:28" x14ac:dyDescent="0.2">
      <c r="A25" s="2"/>
      <c r="B25" s="2"/>
      <c r="C25" s="2"/>
      <c r="D25" s="2"/>
      <c r="E25" s="2"/>
      <c r="F25" s="2"/>
      <c r="G25" s="2"/>
      <c r="H25" s="2"/>
      <c r="V25" s="7"/>
      <c r="W25" s="7"/>
      <c r="X25" s="11"/>
      <c r="Y25" s="7"/>
      <c r="Z25" s="12"/>
      <c r="AA25" s="7"/>
      <c r="AB25" s="12"/>
    </row>
    <row r="26" spans="1:28" x14ac:dyDescent="0.2">
      <c r="V26" s="8" t="s">
        <v>17</v>
      </c>
      <c r="W26" s="7">
        <v>9304</v>
      </c>
      <c r="X26" s="12">
        <f t="shared" si="15"/>
        <v>0.82067566375584367</v>
      </c>
      <c r="Y26" s="7">
        <v>37</v>
      </c>
      <c r="Z26" s="12">
        <f>Y26 / (F8+Y26)</f>
        <v>9.388480081197666E-3</v>
      </c>
      <c r="AA26" s="7">
        <v>273</v>
      </c>
      <c r="AB26" s="12">
        <f t="shared" si="17"/>
        <v>4.6555252387448842E-2</v>
      </c>
    </row>
    <row r="27" spans="1:28" x14ac:dyDescent="0.2">
      <c r="V27" s="8" t="s">
        <v>16</v>
      </c>
      <c r="W27" s="7">
        <v>25541</v>
      </c>
      <c r="X27" s="12">
        <f t="shared" si="15"/>
        <v>0.7449830824874577</v>
      </c>
      <c r="Y27" s="7">
        <v>722</v>
      </c>
      <c r="Z27" s="12">
        <f t="shared" ref="Z27:Z28" si="18">Y27 / (F9+Y27)</f>
        <v>4.5425946898200578E-2</v>
      </c>
      <c r="AA27" s="7">
        <v>2403</v>
      </c>
      <c r="AB27" s="12">
        <f t="shared" si="17"/>
        <v>0.16812425662911915</v>
      </c>
    </row>
    <row r="28" spans="1:28" x14ac:dyDescent="0.2">
      <c r="V28" s="8" t="s">
        <v>9</v>
      </c>
      <c r="W28" s="7">
        <v>17731</v>
      </c>
      <c r="X28" s="12">
        <f t="shared" si="15"/>
        <v>0.25245248095678791</v>
      </c>
      <c r="Y28" s="7">
        <v>40893</v>
      </c>
      <c r="Z28" s="12">
        <f t="shared" si="18"/>
        <v>0.76614519906323186</v>
      </c>
      <c r="AA28" s="7">
        <v>5468</v>
      </c>
      <c r="AB28" s="12">
        <f t="shared" si="17"/>
        <v>0.26945252057359681</v>
      </c>
    </row>
    <row r="29" spans="1:28" x14ac:dyDescent="0.2">
      <c r="V29" s="8"/>
      <c r="W29" s="7"/>
      <c r="X29" s="11"/>
      <c r="Y29" s="7"/>
      <c r="Z29" s="12"/>
      <c r="AA29" s="7"/>
      <c r="AB29" s="12"/>
    </row>
    <row r="30" spans="1:28" x14ac:dyDescent="0.2">
      <c r="V30" s="8" t="s">
        <v>13</v>
      </c>
      <c r="W30" s="7">
        <v>4265</v>
      </c>
      <c r="X30" s="12">
        <f t="shared" si="15"/>
        <v>0.40028155795401221</v>
      </c>
      <c r="Y30" s="7">
        <v>0</v>
      </c>
      <c r="Z30" s="12">
        <f t="shared" ref="Z23:Z32" si="19">Y30/G12</f>
        <v>0</v>
      </c>
      <c r="AA30" s="7">
        <v>268</v>
      </c>
      <c r="AB30" s="12">
        <f t="shared" si="17"/>
        <v>5.5223573047599422E-2</v>
      </c>
    </row>
    <row r="31" spans="1:28" x14ac:dyDescent="0.2">
      <c r="V31" s="8" t="s">
        <v>14</v>
      </c>
      <c r="W31" s="7">
        <v>22361</v>
      </c>
      <c r="X31" s="12">
        <f t="shared" si="15"/>
        <v>0.75817990709659921</v>
      </c>
      <c r="Y31" s="7">
        <v>0</v>
      </c>
      <c r="Z31" s="12">
        <f t="shared" si="19"/>
        <v>0</v>
      </c>
      <c r="AA31" s="7">
        <v>1588</v>
      </c>
      <c r="AB31" s="12">
        <f t="shared" si="17"/>
        <v>0.1628550917854579</v>
      </c>
    </row>
    <row r="32" spans="1:28" x14ac:dyDescent="0.2">
      <c r="V32" s="8" t="s">
        <v>15</v>
      </c>
      <c r="W32" s="7">
        <v>8437</v>
      </c>
      <c r="X32" s="12">
        <f t="shared" si="15"/>
        <v>0.48388391832989219</v>
      </c>
      <c r="Y32" s="7">
        <v>0</v>
      </c>
      <c r="Z32" s="12">
        <f t="shared" si="19"/>
        <v>0</v>
      </c>
      <c r="AA32" s="7">
        <v>308</v>
      </c>
      <c r="AB32" s="12">
        <f t="shared" si="17"/>
        <v>0.27402135231316727</v>
      </c>
    </row>
    <row r="33" spans="22:27" x14ac:dyDescent="0.2">
      <c r="V33" s="7"/>
      <c r="W33" s="7"/>
      <c r="X33" s="7"/>
      <c r="Y33" s="7"/>
      <c r="Z33" s="7"/>
      <c r="AA33" s="7"/>
    </row>
  </sheetData>
  <mergeCells count="4">
    <mergeCell ref="V20:V21"/>
    <mergeCell ref="W19:X19"/>
    <mergeCell ref="Y19:Z19"/>
    <mergeCell ref="AA19:AB19"/>
  </mergeCells>
  <pageMargins left="0.7" right="0.7" top="0.75" bottom="0.75" header="0.3" footer="0.3"/>
  <ignoredErrors>
    <ignoredError sqref="H4" formulaRange="1"/>
  </ignoredErrors>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Maya, Sigal</dc:creator>
  <cp:lastModifiedBy>Maya, Sigal</cp:lastModifiedBy>
  <dcterms:created xsi:type="dcterms:W3CDTF">2025-08-25T21:02:29Z</dcterms:created>
  <dcterms:modified xsi:type="dcterms:W3CDTF">2025-08-29T21:05:40Z</dcterms:modified>
</cp:coreProperties>
</file>