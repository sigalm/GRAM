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smaya/Documents/GitHub/GRAM/gram_analysis/2025_Jul_paper2_testingstrategies/sim_results/"/>
    </mc:Choice>
  </mc:AlternateContent>
  <xr:revisionPtr revIDLastSave="0" documentId="13_ncr:1_{1E5D4C4F-C57A-6048-A43B-77BF5E9024AF}" xr6:coauthVersionLast="47" xr6:coauthVersionMax="47" xr10:uidLastSave="{00000000-0000-0000-0000-000000000000}"/>
  <bookViews>
    <workbookView xWindow="880" yWindow="840" windowWidth="51200" windowHeight="28300" xr2:uid="{BACA357A-4B12-A040-BCAB-31D8550BBBC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1" l="1"/>
  <c r="F5" i="2"/>
  <c r="G5" i="2" s="1"/>
  <c r="F6" i="2"/>
  <c r="G6" i="2" s="1"/>
  <c r="F7" i="2"/>
  <c r="G7" i="2" s="1"/>
  <c r="F8" i="2"/>
  <c r="G8" i="2" s="1"/>
  <c r="F9" i="2"/>
  <c r="G9" i="2" s="1"/>
  <c r="F10" i="2"/>
  <c r="G10" i="2" s="1"/>
  <c r="F11" i="2"/>
  <c r="G11" i="2" s="1"/>
  <c r="F12" i="2"/>
  <c r="G12" i="2" s="1"/>
  <c r="F13" i="2"/>
  <c r="G13" i="2" s="1"/>
  <c r="F14" i="2"/>
  <c r="G14" i="2" s="1"/>
  <c r="F17" i="2"/>
  <c r="G17" i="2" s="1"/>
  <c r="F16" i="2"/>
  <c r="G16" i="2" s="1"/>
  <c r="F4" i="2"/>
  <c r="G4" i="2" s="1"/>
  <c r="K4" i="2" s="1"/>
  <c r="AB19" i="1"/>
  <c r="AB20" i="1"/>
  <c r="AB21" i="1"/>
  <c r="Z19" i="1"/>
  <c r="Z20" i="1"/>
  <c r="Z21" i="1"/>
  <c r="AB24" i="1"/>
  <c r="AB25" i="1"/>
  <c r="Z23" i="1"/>
  <c r="Z24" i="1"/>
  <c r="Z25" i="1"/>
  <c r="AB23" i="1"/>
  <c r="H10" i="1"/>
  <c r="H9" i="1"/>
  <c r="X24" i="1" s="1"/>
  <c r="H8" i="1"/>
  <c r="X23" i="1" s="1"/>
  <c r="H4" i="1"/>
  <c r="X19" i="1" s="1"/>
  <c r="H5" i="1"/>
  <c r="X20" i="1" s="1"/>
  <c r="H6" i="1"/>
  <c r="X21" i="1" s="1"/>
  <c r="N16" i="2" l="1"/>
  <c r="M16" i="2"/>
  <c r="L16" i="2"/>
  <c r="K16" i="2"/>
  <c r="O16" i="2" s="1"/>
  <c r="N17" i="2"/>
  <c r="L17" i="2"/>
  <c r="K17" i="2"/>
  <c r="M17" i="2"/>
  <c r="N5" i="2"/>
  <c r="K5" i="2"/>
  <c r="M5" i="2"/>
  <c r="L5" i="2"/>
  <c r="N14" i="2"/>
  <c r="M14" i="2"/>
  <c r="L14" i="2"/>
  <c r="K14" i="2"/>
  <c r="K13" i="2"/>
  <c r="L13" i="2"/>
  <c r="M13" i="2"/>
  <c r="N13" i="2"/>
  <c r="K12" i="2"/>
  <c r="L12" i="2"/>
  <c r="M12" i="2"/>
  <c r="N12" i="2"/>
  <c r="N11" i="2"/>
  <c r="M11" i="2"/>
  <c r="L11" i="2"/>
  <c r="K11" i="2"/>
  <c r="M10" i="2"/>
  <c r="L10" i="2"/>
  <c r="K10" i="2"/>
  <c r="N10" i="2"/>
  <c r="L9" i="2"/>
  <c r="K9" i="2"/>
  <c r="N9" i="2"/>
  <c r="M9" i="2"/>
  <c r="K8" i="2"/>
  <c r="L8" i="2"/>
  <c r="M8" i="2"/>
  <c r="N8" i="2"/>
  <c r="N6" i="2"/>
  <c r="M6" i="2"/>
  <c r="L6" i="2"/>
  <c r="K6" i="2"/>
  <c r="K7" i="2"/>
  <c r="L7" i="2"/>
  <c r="M7" i="2"/>
  <c r="N7" i="2"/>
  <c r="N4" i="2"/>
  <c r="L4" i="2"/>
  <c r="M4" i="2"/>
  <c r="X25" i="1"/>
  <c r="I9" i="1"/>
  <c r="I5" i="1"/>
  <c r="N5" i="1" s="1"/>
  <c r="I4" i="1"/>
  <c r="O4" i="1" s="1"/>
  <c r="I6" i="1"/>
  <c r="M6" i="1" s="1"/>
  <c r="I8" i="1"/>
  <c r="I10" i="1"/>
  <c r="M9" i="1" l="1"/>
  <c r="K9" i="1"/>
  <c r="K10" i="1"/>
  <c r="O10" i="1"/>
  <c r="N9" i="1"/>
  <c r="L9" i="1"/>
  <c r="O17" i="2"/>
  <c r="O14" i="2"/>
  <c r="O11" i="2"/>
  <c r="O9" i="2"/>
  <c r="O6" i="2"/>
  <c r="O5" i="2"/>
  <c r="O13" i="2"/>
  <c r="O12" i="2"/>
  <c r="O10" i="2"/>
  <c r="O8" i="2"/>
  <c r="O7" i="2"/>
  <c r="O4" i="2"/>
  <c r="P5" i="1"/>
  <c r="O5" i="1"/>
  <c r="O9" i="1"/>
  <c r="P9" i="1"/>
  <c r="K5" i="1"/>
  <c r="M5" i="1"/>
  <c r="L5" i="1"/>
  <c r="L4" i="1"/>
  <c r="N4" i="1"/>
  <c r="P4" i="1"/>
  <c r="K6" i="1"/>
  <c r="M4" i="1"/>
  <c r="K4" i="1"/>
  <c r="O6" i="1"/>
  <c r="L6" i="1"/>
  <c r="M10" i="1"/>
  <c r="N10" i="1"/>
  <c r="N6" i="1"/>
  <c r="P6" i="1"/>
  <c r="P10" i="1"/>
  <c r="M8" i="1"/>
  <c r="O8" i="1"/>
  <c r="P8" i="1"/>
  <c r="N8" i="1"/>
  <c r="L10" i="1"/>
  <c r="K8" i="1"/>
  <c r="L8" i="1"/>
  <c r="Q4" i="1" l="1"/>
  <c r="Q9" i="1"/>
  <c r="Q10" i="1"/>
  <c r="Q5" i="1"/>
  <c r="Q6" i="1"/>
  <c r="Q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Sigal Maya</author>
  </authors>
  <commentList>
    <comment ref="Y19" authorId="0" shapeId="0" xr:uid="{D5E8E8D6-4D33-B14A-9C29-05A939B9C378}">
      <text>
        <r>
          <rPr>
            <b/>
            <sz val="10"/>
            <color rgb="FF000000"/>
            <rFont val="Tahoma"/>
            <family val="2"/>
          </rPr>
          <t>Sigal Maya:</t>
        </r>
        <r>
          <rPr>
            <sz val="10"/>
            <color rgb="FF000000"/>
            <rFont val="Tahoma"/>
            <family val="2"/>
          </rPr>
          <t xml:space="preserve">
</t>
        </r>
        <r>
          <rPr>
            <sz val="10"/>
            <color rgb="FF000000"/>
            <rFont val="Tahoma"/>
            <family val="2"/>
          </rPr>
          <t>This is 0 by definition - false positive BHA does not get re-tested</t>
        </r>
      </text>
    </comment>
  </commentList>
</comments>
</file>

<file path=xl/sharedStrings.xml><?xml version="1.0" encoding="utf-8"?>
<sst xmlns="http://schemas.openxmlformats.org/spreadsheetml/2006/main" count="69" uniqueCount="41">
  <si>
    <t>Strategy</t>
  </si>
  <si>
    <t>sum tested</t>
  </si>
  <si>
    <t>TN No Test</t>
  </si>
  <si>
    <t>FN No Test</t>
  </si>
  <si>
    <t>TP</t>
  </si>
  <si>
    <t>FN</t>
  </si>
  <si>
    <t>TN</t>
  </si>
  <si>
    <t>FP</t>
  </si>
  <si>
    <t>Scaling factor</t>
  </si>
  <si>
    <t>Consistently Accurate (TP/TN)</t>
  </si>
  <si>
    <t>FP changed to TN</t>
  </si>
  <si>
    <t>FN changed to TP</t>
  </si>
  <si>
    <t>Count</t>
  </si>
  <si>
    <t>% of Tested</t>
  </si>
  <si>
    <t>% of TP initially missed</t>
  </si>
  <si>
    <t>% of TN initially misclassified</t>
  </si>
  <si>
    <t>Reactive, BHA-GS, no repeat among BHA+</t>
  </si>
  <si>
    <t>Selective, BHA-GS, no repeat among BHA+</t>
  </si>
  <si>
    <t>Universal, BHA-GS, no repeat among BHA+</t>
  </si>
  <si>
    <t>Reactive, BHA-GS, no repeat among PCP+</t>
  </si>
  <si>
    <t>Selective, BHA-GS, no repeat among PCP+</t>
  </si>
  <si>
    <t>Universal, BHA-GS, no repeat among PCP+</t>
  </si>
  <si>
    <t>Scaled to 1000 potentially eligible at at 65</t>
  </si>
  <si>
    <t>Universal, BHA-GS</t>
  </si>
  <si>
    <t>% PCP follow up</t>
  </si>
  <si>
    <t>BHApos</t>
  </si>
  <si>
    <t>Models run for N=100,000 at age 50</t>
  </si>
  <si>
    <t>Models run for N=10,000 at age 50</t>
  </si>
  <si>
    <t>PCPpos (also evals BHA- results)</t>
  </si>
  <si>
    <t>Graph cumulative results at different ages: 70-75-80..)</t>
  </si>
  <si>
    <t>Should we include test refusal / no-shows</t>
  </si>
  <si>
    <t xml:space="preserve">How often to test? </t>
  </si>
  <si>
    <t>Every year is good because it's what people are arguing for</t>
  </si>
  <si>
    <t>But can compare to other options (every 3rd year)</t>
  </si>
  <si>
    <t xml:space="preserve">Can we do a simple cost piece for this paper. </t>
  </si>
  <si>
    <t>How much it tests for testing, how much for follow ups.</t>
  </si>
  <si>
    <t>Should we do proper costing? If so, it needs to be another paper</t>
  </si>
  <si>
    <t>We can do immediate cost in this paper with note that it excludes downstream costs</t>
  </si>
  <si>
    <t xml:space="preserve">Could also present as staffing need. IF you have 1000 people in this age range and this scenario, that ends up being 1 nurse for 700 people. </t>
  </si>
  <si>
    <t xml:space="preserve">too few FP and too few TP </t>
  </si>
  <si>
    <t># of positive tests are too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</si>
</sst>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sz val="12"/>
      <name val="Aptos Narrow"/>
      <scheme val="minor"/>
    </font>
    <font>
      <sz val="12"/>
      <color theme="1"/>
      <name val="Aptos Narrow"/>
      <family val="2"/>
      <scheme val="minor"/>
    </font>
    <font>
      <sz val="10"/>
      <color rgb="FF000000"/>
      <name val="Tahoma"/>
      <family val="2"/>
    </font>
    <font>
      <b/>
      <sz val="10"/>
      <color rgb="FF000000"/>
      <name val="Tahoma"/>
      <family val="2"/>
    </font>
    <font>
      <b/>
      <i/>
      <sz val="12"/>
      <color theme="1" tint="0.499984740745262"/>
      <name val="Aptos Narrow"/>
      <scheme val="minor"/>
    </font>
    <font>
      <i/>
      <sz val="12"/>
      <color theme="1" tint="0.499984740745262"/>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xf numFmtId="1" fontId="2" fillId="0" borderId="0" xfId="0" applyNumberFormat="1" applyFont="1" applyAlignment="1">
      <alignment horizontal="center" vertical="center" wrapText="1"/>
    </xf>
    <xf numFmtId="1" fontId="2" fillId="0" borderId="0" xfId="0" applyNumberFormat="1" applyFont="1" applyAlignment="1">
      <alignment vertical="center" wrapText="1"/>
    </xf>
    <xf numFmtId="0" fontId="0" fillId="0" borderId="0" xfId="0" applyAlignment="1">
      <alignment horizontal="center" vertical="center"/>
    </xf>
    <xf numFmtId="0" fontId="1" fillId="0" borderId="0" xfId="0" applyFont="1" applyAlignment="1">
      <alignment horizontal="center" vertical="center"/>
    </xf>
    <xf numFmtId="9" fontId="0" fillId="0" borderId="0" xfId="1" applyFont="1" applyAlignment="1">
      <alignment horizontal="center" vertical="center"/>
    </xf>
    <xf numFmtId="10" fontId="0" fillId="0" borderId="0" xfId="1" applyNumberFormat="1" applyFont="1" applyAlignment="1">
      <alignment horizontal="center" vertical="center"/>
    </xf>
    <xf numFmtId="10" fontId="0" fillId="0" borderId="0" xfId="1" applyNumberFormat="1" applyFont="1"/>
    <xf numFmtId="0" fontId="1" fillId="0" borderId="0" xfId="0" applyFont="1" applyAlignment="1">
      <alignment horizontal="center" vertical="center" wrapText="1"/>
    </xf>
    <xf numFmtId="9" fontId="1"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a:effectLst/>
              </a:rPr>
              <a:t>Reactive, BHA-GS -1.5z, stop if BHA+</a:t>
            </a:r>
            <a:endParaRPr lang="en-US">
              <a:effectLst/>
            </a:endParaRP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Sheet1!$K$4:$P$4</c:f>
              <c:numCache>
                <c:formatCode>0</c:formatCode>
                <c:ptCount val="6"/>
                <c:pt idx="0">
                  <c:v>730.64788204423337</c:v>
                </c:pt>
                <c:pt idx="1">
                  <c:v>115.00374859427714</c:v>
                </c:pt>
                <c:pt idx="2">
                  <c:v>39.578907909533925</c:v>
                </c:pt>
                <c:pt idx="3">
                  <c:v>17.71210795951518</c:v>
                </c:pt>
                <c:pt idx="4">
                  <c:v>88.607397226040234</c:v>
                </c:pt>
                <c:pt idx="5">
                  <c:v>8.4499562664001004</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7D3-5D47-A46C-BCFC22F83E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7D3-5D47-A46C-BCFC22F83EE1}"/>
              </c:ext>
            </c:extLst>
          </c:dPt>
          <c:val>
            <c:numRef>
              <c:f>Sheet1!$A$4</c:f>
              <c:numCache>
                <c:formatCode>General</c:formatCode>
                <c:ptCount val="1"/>
                <c:pt idx="0">
                  <c:v>0</c:v>
                </c:pt>
              </c:numCache>
            </c:numRef>
          </c:val>
          <c:extLst>
            <c:ext xmlns:c16="http://schemas.microsoft.com/office/drawing/2014/chart" uri="{C3380CC4-5D6E-409C-BE32-E72D297353CC}">
              <c16:uniqueId val="{0000000E-27B1-4443-8392-72F1108497B0}"/>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effectLst/>
              </a:rPr>
              <a:t>Selective, BHA-GS -1.5z, stop if BHA+</a:t>
            </a:r>
            <a:endParaRPr lang="en-US" sz="168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Sheet1!$K$5:$P$5</c:f>
              <c:numCache>
                <c:formatCode>0</c:formatCode>
                <c:ptCount val="6"/>
                <c:pt idx="0">
                  <c:v>443.24003498687989</c:v>
                </c:pt>
                <c:pt idx="1">
                  <c:v>36.345745345495438</c:v>
                </c:pt>
                <c:pt idx="2">
                  <c:v>103.02386605023116</c:v>
                </c:pt>
                <c:pt idx="3">
                  <c:v>32.925153067599652</c:v>
                </c:pt>
                <c:pt idx="4">
                  <c:v>340.51293265025612</c:v>
                </c:pt>
                <c:pt idx="5">
                  <c:v>43.952267899537674</c:v>
                </c:pt>
              </c:numCache>
            </c:numRef>
          </c:val>
          <c:extLst>
            <c:ext xmlns:c16="http://schemas.microsoft.com/office/drawing/2014/chart" uri="{C3380CC4-5D6E-409C-BE32-E72D297353CC}">
              <c16:uniqueId val="{0000000E-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effectLst/>
              </a:rPr>
              <a:t>Universal, BHA-GS -1.5z, stop if BHA+</a:t>
            </a:r>
            <a:endParaRPr lang="en-US" sz="168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Sheet1!$K$6:$P$6</c:f>
              <c:numCache>
                <c:formatCode>0</c:formatCode>
                <c:ptCount val="6"/>
                <c:pt idx="0">
                  <c:v>0</c:v>
                </c:pt>
                <c:pt idx="1">
                  <c:v>0</c:v>
                </c:pt>
                <c:pt idx="2">
                  <c:v>169.45208046982381</c:v>
                </c:pt>
                <c:pt idx="3">
                  <c:v>2.8426839935024364</c:v>
                </c:pt>
                <c:pt idx="4">
                  <c:v>299.93439960014996</c:v>
                </c:pt>
                <c:pt idx="5">
                  <c:v>527.77083593652378</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F-E15D-1246-A1FC-62323B3B1C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E15D-1246-A1FC-62323B3B1C9B}"/>
              </c:ext>
            </c:extLst>
          </c:dPt>
          <c:val>
            <c:numRef>
              <c:f>Sheet1!$A$6</c:f>
              <c:numCache>
                <c:formatCode>General</c:formatCode>
                <c:ptCount val="1"/>
                <c:pt idx="0">
                  <c:v>0</c:v>
                </c:pt>
              </c:numCache>
            </c:numRef>
          </c:val>
          <c:extLst>
            <c:ext xmlns:c16="http://schemas.microsoft.com/office/drawing/2014/chart" uri="{C3380CC4-5D6E-409C-BE32-E72D297353CC}">
              <c16:uniqueId val="{00000026-59C7-BB46-A114-73AEE931D906}"/>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Reactive, BHA-GS -1.5z, stop</a:t>
            </a:r>
            <a:r>
              <a:rPr lang="en-US" baseline="0"/>
              <a:t> if PCP+</a:t>
            </a:r>
            <a:r>
              <a:rPr lang="en-US"/>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Sheet1!$K$8:$P$8</c:f>
              <c:numCache>
                <c:formatCode>0</c:formatCode>
                <c:ptCount val="6"/>
                <c:pt idx="0">
                  <c:v>730.64788204423337</c:v>
                </c:pt>
                <c:pt idx="1">
                  <c:v>115.00374859427714</c:v>
                </c:pt>
                <c:pt idx="2">
                  <c:v>32.362863926027735</c:v>
                </c:pt>
                <c:pt idx="3">
                  <c:v>24.928151943021366</c:v>
                </c:pt>
                <c:pt idx="4">
                  <c:v>94.308384355866551</c:v>
                </c:pt>
                <c:pt idx="5">
                  <c:v>2.7489691365737849</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Selective, </a:t>
            </a:r>
            <a:r>
              <a:rPr lang="en-US" sz="1600" b="1" i="0" u="none" strike="noStrike" kern="1200" spc="0" baseline="0">
                <a:solidFill>
                  <a:sysClr val="windowText" lastClr="000000">
                    <a:lumMod val="65000"/>
                    <a:lumOff val="35000"/>
                  </a:sysClr>
                </a:solidFill>
              </a:rPr>
              <a:t>BHA-GS -1.5z, stop if PCP+ </a:t>
            </a:r>
            <a:r>
              <a:rPr lang="en-US"/>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Sheet1!$K$9:$P$9</c:f>
              <c:numCache>
                <c:formatCode>0</c:formatCode>
                <c:ptCount val="6"/>
                <c:pt idx="0">
                  <c:v>443.24003498687989</c:v>
                </c:pt>
                <c:pt idx="1">
                  <c:v>36.345745345495438</c:v>
                </c:pt>
                <c:pt idx="2">
                  <c:v>89.872547794577031</c:v>
                </c:pt>
                <c:pt idx="3">
                  <c:v>46.076471323253777</c:v>
                </c:pt>
                <c:pt idx="4">
                  <c:v>369.83006372610271</c:v>
                </c:pt>
                <c:pt idx="5">
                  <c:v>14.635136823691115</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Universal, </a:t>
            </a:r>
            <a:r>
              <a:rPr lang="en-US" sz="1600" b="1" i="0" u="none" strike="noStrike" kern="1200" spc="0" baseline="0">
                <a:solidFill>
                  <a:sysClr val="windowText" lastClr="000000">
                    <a:lumMod val="65000"/>
                    <a:lumOff val="35000"/>
                  </a:sysClr>
                </a:solidFill>
              </a:rPr>
              <a:t>BHA-GS -1.5z, stop if PCP+ </a:t>
            </a:r>
            <a:r>
              <a:rPr lang="en-US"/>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Sheet1!$K$10:$P$10</c:f>
              <c:numCache>
                <c:formatCode>0</c:formatCode>
                <c:ptCount val="6"/>
                <c:pt idx="0">
                  <c:v>0</c:v>
                </c:pt>
                <c:pt idx="1">
                  <c:v>0</c:v>
                </c:pt>
                <c:pt idx="2">
                  <c:v>150.09996251405721</c:v>
                </c:pt>
                <c:pt idx="3">
                  <c:v>22.194801949269024</c:v>
                </c:pt>
                <c:pt idx="4">
                  <c:v>586.21766837435962</c:v>
                </c:pt>
                <c:pt idx="5">
                  <c:v>241.48756716231412</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Sheet1!$A$4</c:f>
              <c:numCache>
                <c:formatCode>General</c:formatCode>
                <c:ptCount val="1"/>
                <c:pt idx="0">
                  <c:v>0</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Hybrid Follow-Up</a:t>
            </a:r>
            <a:r>
              <a:rPr lang="en-US" baseline="0"/>
              <a:t> Scenarios for Universal BHA-GS -1.5z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Sheet2!$N$2</c:f>
              <c:strCache>
                <c:ptCount val="1"/>
                <c:pt idx="0">
                  <c:v>FP</c:v>
                </c:pt>
              </c:strCache>
            </c:strRef>
          </c:tx>
          <c:spPr>
            <a:pattFill prst="wdDnDiag">
              <a:fgClr>
                <a:schemeClr val="accent4"/>
              </a:fgClr>
              <a:bgClr>
                <a:schemeClr val="bg1"/>
              </a:bgClr>
            </a:pattFill>
            <a:ln w="12700">
              <a:solidFill>
                <a:schemeClr val="tx1"/>
              </a:solidFill>
            </a:ln>
            <a:effectLst/>
          </c:spPr>
          <c:invertIfNegative val="0"/>
          <c:cat>
            <c:numRef>
              <c:f>Sheet2!$A$4:$A$14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Sheet2!$N$4:$N$14</c:f>
              <c:numCache>
                <c:formatCode>0</c:formatCode>
                <c:ptCount val="11"/>
                <c:pt idx="0">
                  <c:v>650.28472394156972</c:v>
                </c:pt>
                <c:pt idx="1">
                  <c:v>612.65164644714037</c:v>
                </c:pt>
                <c:pt idx="2">
                  <c:v>574.27581084426834</c:v>
                </c:pt>
                <c:pt idx="3">
                  <c:v>525.99653379549397</c:v>
                </c:pt>
                <c:pt idx="4">
                  <c:v>493.0675909878683</c:v>
                </c:pt>
                <c:pt idx="5">
                  <c:v>449.24486258974991</c:v>
                </c:pt>
                <c:pt idx="6">
                  <c:v>410.74523396880414</c:v>
                </c:pt>
                <c:pt idx="7">
                  <c:v>377.44491210695719</c:v>
                </c:pt>
                <c:pt idx="8">
                  <c:v>325.69943055211684</c:v>
                </c:pt>
                <c:pt idx="9">
                  <c:v>279.4008417925229</c:v>
                </c:pt>
                <c:pt idx="10">
                  <c:v>234.0925971775192</c:v>
                </c:pt>
              </c:numCache>
            </c:numRef>
          </c:val>
          <c:extLst>
            <c:ext xmlns:c16="http://schemas.microsoft.com/office/drawing/2014/chart" uri="{C3380CC4-5D6E-409C-BE32-E72D297353CC}">
              <c16:uniqueId val="{00000004-1A58-CC4F-A00D-FBAB48E6C928}"/>
            </c:ext>
          </c:extLst>
        </c:ser>
        <c:ser>
          <c:idx val="3"/>
          <c:order val="1"/>
          <c:tx>
            <c:strRef>
              <c:f>Sheet2!$M$2</c:f>
              <c:strCache>
                <c:ptCount val="1"/>
                <c:pt idx="0">
                  <c:v>TN</c:v>
                </c:pt>
              </c:strCache>
            </c:strRef>
          </c:tx>
          <c:spPr>
            <a:solidFill>
              <a:schemeClr val="accent4"/>
            </a:solidFill>
            <a:ln w="12700">
              <a:solidFill>
                <a:schemeClr val="tx1"/>
              </a:solidFill>
            </a:ln>
            <a:effectLst/>
          </c:spPr>
          <c:invertIfNegative val="0"/>
          <c:cat>
            <c:numRef>
              <c:f>Sheet2!$A$4:$A$14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Sheet2!$M$4:$M$14</c:f>
              <c:numCache>
                <c:formatCode>0</c:formatCode>
                <c:ptCount val="11"/>
                <c:pt idx="0">
                  <c:v>230.13122059915821</c:v>
                </c:pt>
                <c:pt idx="1">
                  <c:v>265.1646447140381</c:v>
                </c:pt>
                <c:pt idx="2">
                  <c:v>300.44565486506559</c:v>
                </c:pt>
                <c:pt idx="3">
                  <c:v>345.63010646199552</c:v>
                </c:pt>
                <c:pt idx="4">
                  <c:v>375.46422381777666</c:v>
                </c:pt>
                <c:pt idx="5">
                  <c:v>415.07798960138649</c:v>
                </c:pt>
                <c:pt idx="6">
                  <c:v>449.49244862589751</c:v>
                </c:pt>
                <c:pt idx="7">
                  <c:v>478.70760089130971</c:v>
                </c:pt>
                <c:pt idx="8">
                  <c:v>524.26343154246103</c:v>
                </c:pt>
                <c:pt idx="9">
                  <c:v>566.9720227779153</c:v>
                </c:pt>
                <c:pt idx="10">
                  <c:v>605.71923743500872</c:v>
                </c:pt>
              </c:numCache>
            </c:numRef>
          </c:val>
          <c:extLst>
            <c:ext xmlns:c16="http://schemas.microsoft.com/office/drawing/2014/chart" uri="{C3380CC4-5D6E-409C-BE32-E72D297353CC}">
              <c16:uniqueId val="{00000003-1A58-CC4F-A00D-FBAB48E6C928}"/>
            </c:ext>
          </c:extLst>
        </c:ser>
        <c:ser>
          <c:idx val="2"/>
          <c:order val="2"/>
          <c:tx>
            <c:strRef>
              <c:f>Sheet2!$L$2</c:f>
              <c:strCache>
                <c:ptCount val="1"/>
                <c:pt idx="0">
                  <c:v>FN</c:v>
                </c:pt>
              </c:strCache>
            </c:strRef>
          </c:tx>
          <c:spPr>
            <a:pattFill prst="wdDnDiag">
              <a:fgClr>
                <a:schemeClr val="accent2">
                  <a:lumMod val="75000"/>
                </a:schemeClr>
              </a:fgClr>
              <a:bgClr>
                <a:schemeClr val="bg1"/>
              </a:bgClr>
            </a:pattFill>
            <a:ln w="12700">
              <a:solidFill>
                <a:schemeClr val="tx1"/>
              </a:solidFill>
            </a:ln>
            <a:effectLst/>
          </c:spPr>
          <c:invertIfNegative val="0"/>
          <c:cat>
            <c:numRef>
              <c:f>Sheet2!$A$4:$A$14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Sheet2!$L$4:$L$14</c:f>
              <c:numCache>
                <c:formatCode>0</c:formatCode>
                <c:ptCount val="11"/>
                <c:pt idx="0">
                  <c:v>4.7041346868036644</c:v>
                </c:pt>
                <c:pt idx="1">
                  <c:v>5.8182718494676902</c:v>
                </c:pt>
                <c:pt idx="2">
                  <c:v>6.437236939836593</c:v>
                </c:pt>
                <c:pt idx="3">
                  <c:v>9.5320623916811087</c:v>
                </c:pt>
                <c:pt idx="4">
                  <c:v>9.9034414459024518</c:v>
                </c:pt>
                <c:pt idx="5">
                  <c:v>12.626887843525624</c:v>
                </c:pt>
                <c:pt idx="6">
                  <c:v>12.998266897746968</c:v>
                </c:pt>
                <c:pt idx="7">
                  <c:v>15.226541223075019</c:v>
                </c:pt>
                <c:pt idx="8">
                  <c:v>17.949987620698192</c:v>
                </c:pt>
                <c:pt idx="9">
                  <c:v>19.43550383758356</c:v>
                </c:pt>
                <c:pt idx="10">
                  <c:v>22.901708343649418</c:v>
                </c:pt>
              </c:numCache>
            </c:numRef>
          </c:val>
          <c:extLst>
            <c:ext xmlns:c16="http://schemas.microsoft.com/office/drawing/2014/chart" uri="{C3380CC4-5D6E-409C-BE32-E72D297353CC}">
              <c16:uniqueId val="{00000002-1A58-CC4F-A00D-FBAB48E6C928}"/>
            </c:ext>
          </c:extLst>
        </c:ser>
        <c:ser>
          <c:idx val="1"/>
          <c:order val="3"/>
          <c:tx>
            <c:strRef>
              <c:f>Sheet2!$K$2</c:f>
              <c:strCache>
                <c:ptCount val="1"/>
                <c:pt idx="0">
                  <c:v>TP</c:v>
                </c:pt>
              </c:strCache>
            </c:strRef>
          </c:tx>
          <c:spPr>
            <a:solidFill>
              <a:schemeClr val="accent2">
                <a:lumMod val="75000"/>
              </a:schemeClr>
            </a:solidFill>
            <a:ln w="12700">
              <a:solidFill>
                <a:schemeClr val="tx1"/>
              </a:solidFill>
            </a:ln>
            <a:effectLst/>
          </c:spPr>
          <c:invertIfNegative val="0"/>
          <c:cat>
            <c:numRef>
              <c:f>Sheet2!$A$4:$A$14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Sheet2!$K$4:$K$14</c:f>
              <c:numCache>
                <c:formatCode>0</c:formatCode>
                <c:ptCount val="11"/>
                <c:pt idx="0">
                  <c:v>114.87992077246844</c:v>
                </c:pt>
                <c:pt idx="1">
                  <c:v>116.3654369893538</c:v>
                </c:pt>
                <c:pt idx="2">
                  <c:v>118.84129735082941</c:v>
                </c:pt>
                <c:pt idx="3">
                  <c:v>118.84129735082941</c:v>
                </c:pt>
                <c:pt idx="4">
                  <c:v>121.56474374845259</c:v>
                </c:pt>
                <c:pt idx="5">
                  <c:v>123.05025996533796</c:v>
                </c:pt>
                <c:pt idx="6">
                  <c:v>126.76405050755137</c:v>
                </c:pt>
                <c:pt idx="7">
                  <c:v>128.6209457786581</c:v>
                </c:pt>
                <c:pt idx="8">
                  <c:v>132.08715028472395</c:v>
                </c:pt>
                <c:pt idx="9">
                  <c:v>134.19163159197822</c:v>
                </c:pt>
                <c:pt idx="10">
                  <c:v>137.28645704382274</c:v>
                </c:pt>
              </c:numCache>
            </c:numRef>
          </c:val>
          <c:extLst>
            <c:ext xmlns:c16="http://schemas.microsoft.com/office/drawing/2014/chart" uri="{C3380CC4-5D6E-409C-BE32-E72D297353CC}">
              <c16:uniqueId val="{00000001-1A58-CC4F-A00D-FBAB48E6C928}"/>
            </c:ext>
          </c:extLst>
        </c:ser>
        <c:dLbls>
          <c:showLegendKey val="0"/>
          <c:showVal val="0"/>
          <c:showCatName val="0"/>
          <c:showSerName val="0"/>
          <c:showPercent val="0"/>
          <c:showBubbleSize val="0"/>
        </c:dLbls>
        <c:gapWidth val="150"/>
        <c:overlap val="100"/>
        <c:axId val="1875349824"/>
        <c:axId val="516010975"/>
      </c:barChart>
      <c:catAx>
        <c:axId val="18753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patients receiving PCP follow</a:t>
                </a:r>
                <a:r>
                  <a:rPr lang="en-US" baseline="0"/>
                  <a:t> up after positive BHA-GS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6010975"/>
        <c:crosses val="autoZero"/>
        <c:auto val="1"/>
        <c:lblAlgn val="ctr"/>
        <c:lblOffset val="100"/>
        <c:noMultiLvlLbl val="0"/>
      </c:catAx>
      <c:valAx>
        <c:axId val="516010975"/>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Universal, BHA-GS -1.5z, stop if BHA+</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Sheet2!$I$16:$N$16</c:f>
              <c:numCache>
                <c:formatCode>General</c:formatCode>
                <c:ptCount val="6"/>
                <c:pt idx="0">
                  <c:v>0</c:v>
                </c:pt>
                <c:pt idx="1">
                  <c:v>0</c:v>
                </c:pt>
                <c:pt idx="2" formatCode="0">
                  <c:v>114.87992077246844</c:v>
                </c:pt>
                <c:pt idx="3" formatCode="0">
                  <c:v>4.7041346868036644</c:v>
                </c:pt>
                <c:pt idx="4" formatCode="0">
                  <c:v>230.13122059915821</c:v>
                </c:pt>
                <c:pt idx="5" formatCode="0">
                  <c:v>650.28472394156972</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Sheet2!$A$6</c:f>
              <c:numCache>
                <c:formatCode>0%</c:formatCode>
                <c:ptCount val="1"/>
                <c:pt idx="0">
                  <c:v>0.2</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Universal, BHA-GS -1.5z, stop if PCP+</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601907280509368E-3"/>
          <c:y val="0.15206929945826597"/>
          <c:w val="0.97911810013468759"/>
          <c:h val="0.8197278018494184"/>
        </c:manualLayout>
      </c:layout>
      <c:ofPieChart>
        <c:ofPieType val="bar"/>
        <c:varyColors val="1"/>
        <c:ser>
          <c:idx val="0"/>
          <c:order val="0"/>
          <c:spPr>
            <a:solidFill>
              <a:schemeClr val="accent1"/>
            </a:solidFill>
            <a:ln w="12700">
              <a:solidFill>
                <a:schemeClr val="tx1"/>
              </a:solidFill>
            </a:ln>
          </c:spPr>
          <c:dPt>
            <c:idx val="0"/>
            <c:bubble3D val="0"/>
            <c:spPr>
              <a:solidFill>
                <a:schemeClr val="accent4">
                  <a:lumMod val="60000"/>
                  <a:lumOff val="40000"/>
                </a:schemeClr>
              </a:solidFill>
              <a:ln w="12700">
                <a:solidFill>
                  <a:schemeClr val="tx1"/>
                </a:solidFill>
              </a:ln>
              <a:effectLst/>
            </c:spPr>
            <c:extLst>
              <c:ext xmlns:c16="http://schemas.microsoft.com/office/drawing/2014/chart" uri="{C3380CC4-5D6E-409C-BE32-E72D297353CC}">
                <c16:uniqueId val="{00000001-1AF4-A049-8E1C-D16CC8FF2E49}"/>
              </c:ext>
            </c:extLst>
          </c:dPt>
          <c:dPt>
            <c:idx val="1"/>
            <c:bubble3D val="0"/>
            <c:spPr>
              <a:pattFill prst="wdDnDiag">
                <a:fgClr>
                  <a:schemeClr val="accent2">
                    <a:lumMod val="60000"/>
                    <a:lumOff val="40000"/>
                  </a:schemeClr>
                </a:fgClr>
                <a:bgClr>
                  <a:schemeClr val="bg1"/>
                </a:bgClr>
              </a:pattFill>
              <a:ln w="12700">
                <a:solidFill>
                  <a:schemeClr val="tx1"/>
                </a:solidFill>
              </a:ln>
              <a:effectLst/>
            </c:spPr>
            <c:extLst>
              <c:ext xmlns:c16="http://schemas.microsoft.com/office/drawing/2014/chart" uri="{C3380CC4-5D6E-409C-BE32-E72D297353CC}">
                <c16:uniqueId val="{00000003-1AF4-A049-8E1C-D16CC8FF2E49}"/>
              </c:ext>
            </c:extLst>
          </c:dPt>
          <c:dPt>
            <c:idx val="2"/>
            <c:bubble3D val="0"/>
            <c:spPr>
              <a:solidFill>
                <a:schemeClr val="accent2">
                  <a:lumMod val="75000"/>
                </a:schemeClr>
              </a:solidFill>
              <a:ln w="12700">
                <a:solidFill>
                  <a:schemeClr val="tx1"/>
                </a:solidFill>
              </a:ln>
              <a:effectLst/>
            </c:spPr>
            <c:extLst>
              <c:ext xmlns:c16="http://schemas.microsoft.com/office/drawing/2014/chart" uri="{C3380CC4-5D6E-409C-BE32-E72D297353CC}">
                <c16:uniqueId val="{00000005-1AF4-A049-8E1C-D16CC8FF2E49}"/>
              </c:ext>
            </c:extLst>
          </c:dPt>
          <c:dPt>
            <c:idx val="3"/>
            <c:bubble3D val="0"/>
            <c:spPr>
              <a:pattFill prst="wdDnDiag">
                <a:fgClr>
                  <a:schemeClr val="accent2">
                    <a:lumMod val="75000"/>
                  </a:schemeClr>
                </a:fgClr>
                <a:bgClr>
                  <a:schemeClr val="bg1"/>
                </a:bgClr>
              </a:pattFill>
              <a:ln w="12700">
                <a:solidFill>
                  <a:schemeClr val="tx1"/>
                </a:solidFill>
              </a:ln>
              <a:effectLst/>
            </c:spPr>
            <c:extLst>
              <c:ext xmlns:c16="http://schemas.microsoft.com/office/drawing/2014/chart" uri="{C3380CC4-5D6E-409C-BE32-E72D297353CC}">
                <c16:uniqueId val="{00000007-1AF4-A049-8E1C-D16CC8FF2E49}"/>
              </c:ext>
            </c:extLst>
          </c:dPt>
          <c:dPt>
            <c:idx val="4"/>
            <c:bubble3D val="0"/>
            <c:spPr>
              <a:solidFill>
                <a:schemeClr val="accent4"/>
              </a:solidFill>
              <a:ln w="12700">
                <a:solidFill>
                  <a:schemeClr val="tx1"/>
                </a:solidFill>
              </a:ln>
              <a:effectLst/>
            </c:spPr>
            <c:extLst>
              <c:ext xmlns:c16="http://schemas.microsoft.com/office/drawing/2014/chart" uri="{C3380CC4-5D6E-409C-BE32-E72D297353CC}">
                <c16:uniqueId val="{00000009-1AF4-A049-8E1C-D16CC8FF2E49}"/>
              </c:ext>
            </c:extLst>
          </c:dPt>
          <c:dPt>
            <c:idx val="5"/>
            <c:bubble3D val="0"/>
            <c:spPr>
              <a:pattFill prst="wdDnDiag">
                <a:fgClr>
                  <a:schemeClr val="accent4"/>
                </a:fgClr>
                <a:bgClr>
                  <a:schemeClr val="bg1"/>
                </a:bgClr>
              </a:pattFill>
              <a:ln w="12700">
                <a:solidFill>
                  <a:schemeClr val="tx1"/>
                </a:solidFill>
              </a:ln>
              <a:effectLst/>
            </c:spPr>
            <c:extLst>
              <c:ext xmlns:c16="http://schemas.microsoft.com/office/drawing/2014/chart" uri="{C3380CC4-5D6E-409C-BE32-E72D297353CC}">
                <c16:uniqueId val="{0000000B-1AF4-A049-8E1C-D16CC8FF2E49}"/>
              </c:ext>
            </c:extLst>
          </c:dPt>
          <c:dPt>
            <c:idx val="6"/>
            <c:bubble3D val="0"/>
            <c:spPr>
              <a:solidFill>
                <a:schemeClr val="bg1">
                  <a:lumMod val="95000"/>
                </a:schemeClr>
              </a:solidFill>
              <a:ln w="19050">
                <a:solidFill>
                  <a:schemeClr val="accent6">
                    <a:lumMod val="75000"/>
                  </a:schemeClr>
                </a:solidFill>
                <a:prstDash val="lgDashDot"/>
              </a:ln>
              <a:effectLst/>
            </c:spPr>
            <c:extLst>
              <c:ext xmlns:c16="http://schemas.microsoft.com/office/drawing/2014/chart" uri="{C3380CC4-5D6E-409C-BE32-E72D297353CC}">
                <c16:uniqueId val="{0000000D-1AF4-A049-8E1C-D16CC8FF2E49}"/>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AF4-A049-8E1C-D16CC8FF2E49}"/>
                </c:ext>
              </c:extLst>
            </c:dLbl>
            <c:dLbl>
              <c:idx val="6"/>
              <c:layout>
                <c:manualLayout>
                  <c:x val="-0.12493037165649852"/>
                  <c:y val="9.21300500088091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AF4-A049-8E1C-D16CC8FF2E4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Sheet2!$I$17:$N$17</c:f>
              <c:numCache>
                <c:formatCode>General</c:formatCode>
                <c:ptCount val="6"/>
                <c:pt idx="0">
                  <c:v>0</c:v>
                </c:pt>
                <c:pt idx="1">
                  <c:v>0</c:v>
                </c:pt>
                <c:pt idx="2" formatCode="0">
                  <c:v>293.51324585293389</c:v>
                </c:pt>
                <c:pt idx="3" formatCode="0">
                  <c:v>42.213419163159195</c:v>
                </c:pt>
                <c:pt idx="4" formatCode="0">
                  <c:v>480.93587521663778</c:v>
                </c:pt>
                <c:pt idx="5" formatCode="0">
                  <c:v>183.33745976726914</c:v>
                </c:pt>
              </c:numCache>
            </c:numRef>
          </c:val>
          <c:extLst>
            <c:ext xmlns:c16="http://schemas.microsoft.com/office/drawing/2014/chart" uri="{C3380CC4-5D6E-409C-BE32-E72D297353CC}">
              <c16:uniqueId val="{0000000E-1AF4-A049-8E1C-D16CC8FF2E4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1AF4-A049-8E1C-D16CC8FF2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AF4-A049-8E1C-D16CC8FF2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1AF4-A049-8E1C-D16CC8FF2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1AF4-A049-8E1C-D16CC8FF2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1AF4-A049-8E1C-D16CC8FF2E49}"/>
              </c:ext>
            </c:extLst>
          </c:dPt>
          <c:val>
            <c:numRef>
              <c:f>Sheet2!$A$6</c:f>
              <c:numCache>
                <c:formatCode>0%</c:formatCode>
                <c:ptCount val="1"/>
                <c:pt idx="0">
                  <c:v>0.2</c:v>
                </c:pt>
              </c:numCache>
            </c:numRef>
          </c:val>
          <c:extLst>
            <c:ext xmlns:c16="http://schemas.microsoft.com/office/drawing/2014/chart" uri="{C3380CC4-5D6E-409C-BE32-E72D297353CC}">
              <c16:uniqueId val="{00000019-1AF4-A049-8E1C-D16CC8FF2E49}"/>
            </c:ext>
          </c:extLst>
        </c:ser>
        <c:dLbls>
          <c:showLegendKey val="0"/>
          <c:showVal val="0"/>
          <c:showCatName val="0"/>
          <c:showSerName val="0"/>
          <c:showPercent val="0"/>
          <c:showBubbleSize val="0"/>
          <c:showLeaderLines val="1"/>
        </c:dLbls>
        <c:gapWidth val="100"/>
        <c:splitType val="pos"/>
        <c:splitPos val="4"/>
        <c:secondPieSize val="62"/>
        <c:serLines>
          <c:spPr>
            <a:ln w="9525" cap="flat" cmpd="sng" algn="ctr">
              <a:solidFill>
                <a:schemeClr val="tx1">
                  <a:lumMod val="75000"/>
                  <a:lumOff val="25000"/>
                </a:schemeClr>
              </a:solidFill>
              <a:round/>
            </a:ln>
            <a:effectLst/>
          </c:spPr>
        </c:serLines>
      </c:ofPieChart>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679450</xdr:colOff>
      <xdr:row>15</xdr:row>
      <xdr:rowOff>101600</xdr:rowOff>
    </xdr:from>
    <xdr:to>
      <xdr:col>6</xdr:col>
      <xdr:colOff>69850</xdr:colOff>
      <xdr:row>29</xdr:row>
      <xdr:rowOff>0</xdr:rowOff>
    </xdr:to>
    <xdr:graphicFrame macro="">
      <xdr:nvGraphicFramePr>
        <xdr:cNvPr id="2" name="Chart 1">
          <a:extLst>
            <a:ext uri="{FF2B5EF4-FFF2-40B4-BE49-F238E27FC236}">
              <a16:creationId xmlns:a16="http://schemas.microsoft.com/office/drawing/2014/main" id="{0D993FD3-021E-7302-81FC-944DA02C7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469900</xdr:colOff>
      <xdr:row>15</xdr:row>
      <xdr:rowOff>127000</xdr:rowOff>
    </xdr:from>
    <xdr:to>
      <xdr:col>13</xdr:col>
      <xdr:colOff>88900</xdr:colOff>
      <xdr:row>29</xdr:row>
      <xdr:rowOff>25400</xdr:rowOff>
    </xdr:to>
    <xdr:graphicFrame macro="">
      <xdr:nvGraphicFramePr>
        <xdr:cNvPr id="5" name="Chart 4">
          <a:extLst>
            <a:ext uri="{FF2B5EF4-FFF2-40B4-BE49-F238E27FC236}">
              <a16:creationId xmlns:a16="http://schemas.microsoft.com/office/drawing/2014/main" id="{D2E204F7-C67A-E64E-8120-5514D6330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504372</xdr:colOff>
      <xdr:row>15</xdr:row>
      <xdr:rowOff>88900</xdr:rowOff>
    </xdr:from>
    <xdr:to>
      <xdr:col>19</xdr:col>
      <xdr:colOff>123372</xdr:colOff>
      <xdr:row>28</xdr:row>
      <xdr:rowOff>190500</xdr:rowOff>
    </xdr:to>
    <xdr:graphicFrame macro="">
      <xdr:nvGraphicFramePr>
        <xdr:cNvPr id="6" name="Chart 5">
          <a:extLst>
            <a:ext uri="{FF2B5EF4-FFF2-40B4-BE49-F238E27FC236}">
              <a16:creationId xmlns:a16="http://schemas.microsoft.com/office/drawing/2014/main" id="{2773FC7F-0CA9-0641-AF9E-31F1BE712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785915</xdr:colOff>
      <xdr:row>46</xdr:row>
      <xdr:rowOff>2639</xdr:rowOff>
    </xdr:from>
    <xdr:to>
      <xdr:col>15</xdr:col>
      <xdr:colOff>56242</xdr:colOff>
      <xdr:row>64</xdr:row>
      <xdr:rowOff>9770</xdr:rowOff>
    </xdr:to>
    <xdr:sp macro="" textlink="">
      <xdr:nvSpPr>
        <xdr:cNvPr id="7" name="TextBox 6">
          <a:extLst>
            <a:ext uri="{FF2B5EF4-FFF2-40B4-BE49-F238E27FC236}">
              <a16:creationId xmlns:a16="http://schemas.microsoft.com/office/drawing/2014/main" id="{6B946151-B70B-3A93-8950-30A64073C7AA}"/>
            </a:ext>
          </a:extLst>
        </xdr:cNvPr>
        <xdr:cNvSpPr txBox="1"/>
      </xdr:nvSpPr>
      <xdr:spPr>
        <a:xfrm>
          <a:off x="2671377" y="9664408"/>
          <a:ext cx="9772250" cy="369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15</a:t>
          </a:r>
          <a:r>
            <a:rPr lang="en-US" sz="1100" b="1" baseline="0"/>
            <a:t>-year cumulative BHA testing results for those alive at age 65, by scenario. </a:t>
          </a:r>
          <a:r>
            <a:rPr lang="en-US" sz="1100" b="0" baseline="0"/>
            <a:t>Individuals are considered not tested if they are never tested between age 65 and age 80 or death (whichever happens first). Those who remain healthy throughout this period are considered default TRUE NEGATIVE. Those who ever develop impairment wihtin this period are considered default FALSE NEGATIVE.</a:t>
          </a:r>
          <a:br>
            <a:rPr lang="en-US" sz="1100" b="0" baseline="0"/>
          </a:br>
          <a:r>
            <a:rPr lang="en-US" sz="1100" b="0" baseline="0"/>
            <a:t>Individuals who ever receive a test are further split into four groups. Those who were ever BHA-positive and ever impaired are considered true positive (even if the positive test was obtained while healthy). Those who were ever BHA-positive yet were never cognitively impaired are considered false positive. Those who ever had a negative BHA, never a positive BHA, and were always healthy are considered true negative. Those who ever had a negative BHA, never a positive BHA, and ever developed impairment were considered false negatives (even if the negative result was obtained before impairment occurred).</a:t>
          </a:r>
          <a:br>
            <a:rPr lang="en-US" sz="1100" b="0" baseline="0"/>
          </a:br>
          <a:br>
            <a:rPr lang="en-US" sz="1100" b="0" baseline="0"/>
          </a:br>
          <a:r>
            <a:rPr lang="en-US" sz="1100" b="0" baseline="0"/>
            <a:t>Compared to single year testing, there are a lot more FP in the universal strategy, and a lot fewer TN. When you repeat testing, there is a greater chance that that someone will get at least one FP than if you were only testing once (due to imperfect specificity). </a:t>
          </a:r>
        </a:p>
        <a:p>
          <a:endParaRPr lang="en-US" sz="1100" b="0" baseline="0"/>
        </a:p>
        <a:p>
          <a:r>
            <a:rPr lang="en-US" sz="1100" b="0"/>
            <a:t>Of note, Selective-StopBHA+</a:t>
          </a:r>
          <a:r>
            <a:rPr lang="en-US" sz="1100" b="0" baseline="0"/>
            <a:t> identifies more true positives over 15 years than does universal-StopBHA+. This is due to FP BHA results are not assessed by the PCP and they are not retested the next year. So if you get one FP, there is no way to correct it. When your entry into testing is too lax, it is more likely that you pick up more FPs especially at younger ages while severity/prevalence is low. But with a stricter entry criteria (e.g., selective testing) you avoid early FPs, test people only when they have more prominent symptoms, and thus identify more TPs.</a:t>
          </a:r>
        </a:p>
        <a:p>
          <a:endParaRPr lang="en-US" sz="1100" b="0" baseline="0"/>
        </a:p>
        <a:p>
          <a:r>
            <a:rPr lang="en-US" sz="1100" b="0" baseline="0"/>
            <a:t>This effect is not seen in the StopPCP+ scenarios, because the PCP can override false positive BHA results and re-enter those individuals into the testing group. </a:t>
          </a:r>
        </a:p>
        <a:p>
          <a:endParaRPr lang="en-US" sz="1100" b="0" baseline="0"/>
        </a:p>
        <a:p>
          <a:r>
            <a:rPr lang="en-US" sz="1100" b="0" baseline="0"/>
            <a:t>The implication is that in the absence of primary care capacity to follow up with each positive BHA results, it is actually harmful to apply universal BHA testing.  </a:t>
          </a:r>
          <a:endParaRPr lang="en-US" sz="1100" b="0"/>
        </a:p>
      </xdr:txBody>
    </xdr:sp>
    <xdr:clientData/>
  </xdr:twoCellAnchor>
  <xdr:twoCellAnchor>
    <xdr:from>
      <xdr:col>0</xdr:col>
      <xdr:colOff>689430</xdr:colOff>
      <xdr:row>29</xdr:row>
      <xdr:rowOff>136072</xdr:rowOff>
    </xdr:from>
    <xdr:to>
      <xdr:col>6</xdr:col>
      <xdr:colOff>79830</xdr:colOff>
      <xdr:row>43</xdr:row>
      <xdr:rowOff>34471</xdr:rowOff>
    </xdr:to>
    <xdr:graphicFrame macro="">
      <xdr:nvGraphicFramePr>
        <xdr:cNvPr id="10" name="Chart 9">
          <a:extLst>
            <a:ext uri="{FF2B5EF4-FFF2-40B4-BE49-F238E27FC236}">
              <a16:creationId xmlns:a16="http://schemas.microsoft.com/office/drawing/2014/main" id="{F31083B7-67EF-8444-8A8A-106BD4F63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462643</xdr:colOff>
      <xdr:row>29</xdr:row>
      <xdr:rowOff>172357</xdr:rowOff>
    </xdr:from>
    <xdr:to>
      <xdr:col>13</xdr:col>
      <xdr:colOff>79829</xdr:colOff>
      <xdr:row>43</xdr:row>
      <xdr:rowOff>70756</xdr:rowOff>
    </xdr:to>
    <xdr:graphicFrame macro="">
      <xdr:nvGraphicFramePr>
        <xdr:cNvPr id="11" name="Chart 10">
          <a:extLst>
            <a:ext uri="{FF2B5EF4-FFF2-40B4-BE49-F238E27FC236}">
              <a16:creationId xmlns:a16="http://schemas.microsoft.com/office/drawing/2014/main" id="{A2C1D8CC-AEC5-6645-B5F0-1A5CE833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460829</xdr:colOff>
      <xdr:row>29</xdr:row>
      <xdr:rowOff>170543</xdr:rowOff>
    </xdr:from>
    <xdr:to>
      <xdr:col>19</xdr:col>
      <xdr:colOff>78015</xdr:colOff>
      <xdr:row>43</xdr:row>
      <xdr:rowOff>68944</xdr:rowOff>
    </xdr:to>
    <xdr:graphicFrame macro="">
      <xdr:nvGraphicFramePr>
        <xdr:cNvPr id="12" name="Chart 11">
          <a:extLst>
            <a:ext uri="{FF2B5EF4-FFF2-40B4-BE49-F238E27FC236}">
              <a16:creationId xmlns:a16="http://schemas.microsoft.com/office/drawing/2014/main" id="{1FF137C6-41B5-774F-A32C-507AA769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901573</xdr:colOff>
      <xdr:row>20</xdr:row>
      <xdr:rowOff>80817</xdr:rowOff>
    </xdr:from>
    <xdr:to>
      <xdr:col>6</xdr:col>
      <xdr:colOff>733136</xdr:colOff>
      <xdr:row>38</xdr:row>
      <xdr:rowOff>51993</xdr:rowOff>
    </xdr:to>
    <xdr:graphicFrame macro="">
      <xdr:nvGraphicFramePr>
        <xdr:cNvPr id="3" name="Chart 2">
          <a:extLst>
            <a:ext uri="{FF2B5EF4-FFF2-40B4-BE49-F238E27FC236}">
              <a16:creationId xmlns:a16="http://schemas.microsoft.com/office/drawing/2014/main" id="{C54AB452-A7CB-0E14-96A6-C83CCABF5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34635</xdr:colOff>
      <xdr:row>21</xdr:row>
      <xdr:rowOff>38100</xdr:rowOff>
    </xdr:from>
    <xdr:to>
      <xdr:col>15</xdr:col>
      <xdr:colOff>253999</xdr:colOff>
      <xdr:row>35</xdr:row>
      <xdr:rowOff>165100</xdr:rowOff>
    </xdr:to>
    <xdr:graphicFrame macro="">
      <xdr:nvGraphicFramePr>
        <xdr:cNvPr id="4" name="Chart 3">
          <a:extLst>
            <a:ext uri="{FF2B5EF4-FFF2-40B4-BE49-F238E27FC236}">
              <a16:creationId xmlns:a16="http://schemas.microsoft.com/office/drawing/2014/main" id="{42A5905A-0867-464B-A056-1D416274C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122904</xdr:colOff>
      <xdr:row>21</xdr:row>
      <xdr:rowOff>40968</xdr:rowOff>
    </xdr:from>
    <xdr:to>
      <xdr:col>21</xdr:col>
      <xdr:colOff>561259</xdr:colOff>
      <xdr:row>35</xdr:row>
      <xdr:rowOff>167968</xdr:rowOff>
    </xdr:to>
    <xdr:graphicFrame macro="">
      <xdr:nvGraphicFramePr>
        <xdr:cNvPr id="5" name="Chart 4">
          <a:extLst>
            <a:ext uri="{FF2B5EF4-FFF2-40B4-BE49-F238E27FC236}">
              <a16:creationId xmlns:a16="http://schemas.microsoft.com/office/drawing/2014/main" id="{0065DA97-7AD4-394F-9943-C9EAC340C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E02C-DBC0-6B44-A335-55C332C21024}">
  <dimension ref="A1:AB58"/>
  <sheetViews>
    <sheetView tabSelected="1" topLeftCell="A2" zoomScale="140" zoomScaleNormal="140" workbookViewId="0">
      <selection activeCell="S13" sqref="S13"/>
    </sheetView>
  </sheetViews>
  <sheetFormatPr baseColWidth="10" defaultRowHeight="16" x14ac:dyDescent="0.2"/>
  <cols>
    <col min="1" max="1" width="25.83203125" customWidth="1"/>
    <col min="10" max="10" width="7" customWidth="1"/>
    <col min="21" max="21" width="12.83203125" bestFit="1" customWidth="1"/>
    <col min="22" max="22" width="37.83203125" customWidth="1"/>
    <col min="23" max="25" width="13.33203125" customWidth="1"/>
    <col min="26" max="26" width="13.83203125" customWidth="1"/>
    <col min="27" max="27" width="13.33203125" customWidth="1"/>
    <col min="28" max="28" width="12" customWidth="1"/>
  </cols>
  <sheetData>
    <row r="1" spans="1:28" x14ac:dyDescent="0.2">
      <c r="A1" s="3" t="s">
        <v>26</v>
      </c>
      <c r="K1" t="s">
        <v>22</v>
      </c>
    </row>
    <row r="2" spans="1:28" x14ac:dyDescent="0.2">
      <c r="A2" s="3" t="s">
        <v>0</v>
      </c>
      <c r="B2" s="1" t="s">
        <v>2</v>
      </c>
      <c r="C2" s="1" t="s">
        <v>3</v>
      </c>
      <c r="D2" s="1" t="s">
        <v>4</v>
      </c>
      <c r="E2" s="1" t="s">
        <v>5</v>
      </c>
      <c r="F2" s="1" t="s">
        <v>6</v>
      </c>
      <c r="G2" s="1" t="s">
        <v>7</v>
      </c>
      <c r="H2" s="1" t="s">
        <v>1</v>
      </c>
      <c r="I2" s="1" t="s">
        <v>8</v>
      </c>
      <c r="K2" s="1" t="s">
        <v>2</v>
      </c>
      <c r="L2" s="1" t="s">
        <v>3</v>
      </c>
      <c r="M2" s="1" t="s">
        <v>4</v>
      </c>
      <c r="N2" s="1" t="s">
        <v>5</v>
      </c>
      <c r="O2" s="1" t="s">
        <v>6</v>
      </c>
      <c r="P2" s="1" t="s">
        <v>7</v>
      </c>
      <c r="Q2" s="1" t="s">
        <v>1</v>
      </c>
      <c r="R2" s="2"/>
    </row>
    <row r="3" spans="1:28" x14ac:dyDescent="0.2">
      <c r="A3" s="3"/>
      <c r="B3" s="1"/>
      <c r="C3" s="1"/>
      <c r="D3" s="1"/>
      <c r="E3" s="1"/>
      <c r="F3" s="1"/>
      <c r="G3" s="1"/>
      <c r="H3" s="1"/>
      <c r="K3" s="1"/>
      <c r="L3" s="1"/>
      <c r="M3" s="1"/>
      <c r="N3" s="1"/>
      <c r="O3" s="1"/>
      <c r="P3" s="1"/>
      <c r="Q3" s="1"/>
      <c r="R3" s="2"/>
    </row>
    <row r="4" spans="1:28" x14ac:dyDescent="0.2">
      <c r="A4" s="3" t="s">
        <v>16</v>
      </c>
      <c r="B4" s="4">
        <v>46779</v>
      </c>
      <c r="C4" s="4">
        <v>7363</v>
      </c>
      <c r="D4" s="4">
        <v>2534</v>
      </c>
      <c r="E4" s="4">
        <v>1134</v>
      </c>
      <c r="F4" s="4">
        <v>5673</v>
      </c>
      <c r="G4" s="4">
        <v>541</v>
      </c>
      <c r="H4" s="5">
        <f>SUM(D4:G4)</f>
        <v>9882</v>
      </c>
      <c r="I4">
        <f>1000/$H$6</f>
        <v>1.5619142821441959E-2</v>
      </c>
      <c r="K4" s="4">
        <f>B4*$I4</f>
        <v>730.64788204423337</v>
      </c>
      <c r="L4" s="4">
        <f t="shared" ref="L4:P4" si="0">C4*$I4</f>
        <v>115.00374859427714</v>
      </c>
      <c r="M4" s="4">
        <f t="shared" si="0"/>
        <v>39.578907909533925</v>
      </c>
      <c r="N4" s="4">
        <f t="shared" si="0"/>
        <v>17.71210795951518</v>
      </c>
      <c r="O4" s="4">
        <f t="shared" si="0"/>
        <v>88.607397226040234</v>
      </c>
      <c r="P4" s="4">
        <f t="shared" si="0"/>
        <v>8.4499562664001004</v>
      </c>
      <c r="Q4" s="5">
        <f>SUM(M4:P4)</f>
        <v>154.34836936148943</v>
      </c>
    </row>
    <row r="5" spans="1:28" x14ac:dyDescent="0.2">
      <c r="A5" s="3" t="s">
        <v>17</v>
      </c>
      <c r="B5" s="4">
        <v>28378</v>
      </c>
      <c r="C5" s="4">
        <v>2327</v>
      </c>
      <c r="D5" s="4">
        <v>6596</v>
      </c>
      <c r="E5" s="4">
        <v>2108</v>
      </c>
      <c r="F5" s="4">
        <v>21801</v>
      </c>
      <c r="G5" s="4">
        <v>2814</v>
      </c>
      <c r="H5" s="5">
        <f t="shared" ref="H5:H6" si="1">SUM(D5:G5)</f>
        <v>33319</v>
      </c>
      <c r="I5">
        <f t="shared" ref="I5:I6" si="2">1000/$H$6</f>
        <v>1.5619142821441959E-2</v>
      </c>
      <c r="K5" s="4">
        <f t="shared" ref="K5:K6" si="3">B5*$I5</f>
        <v>443.24003498687989</v>
      </c>
      <c r="L5" s="4">
        <f t="shared" ref="L5:L6" si="4">C5*$I5</f>
        <v>36.345745345495438</v>
      </c>
      <c r="M5" s="4">
        <f t="shared" ref="M5:M6" si="5">D5*$I5</f>
        <v>103.02386605023116</v>
      </c>
      <c r="N5" s="4">
        <f t="shared" ref="N5:N6" si="6">E5*$I5</f>
        <v>32.925153067599652</v>
      </c>
      <c r="O5" s="4">
        <f t="shared" ref="O5:O6" si="7">F5*$I5</f>
        <v>340.51293265025612</v>
      </c>
      <c r="P5" s="4">
        <f t="shared" ref="P5:P6" si="8">G5*$I5</f>
        <v>43.952267899537674</v>
      </c>
      <c r="Q5" s="5">
        <f t="shared" ref="Q5:Q6" si="9">SUM(M5:P5)</f>
        <v>520.41421966762459</v>
      </c>
    </row>
    <row r="6" spans="1:28" x14ac:dyDescent="0.2">
      <c r="A6" s="3" t="s">
        <v>18</v>
      </c>
      <c r="B6" s="4">
        <v>0</v>
      </c>
      <c r="C6" s="4">
        <v>0</v>
      </c>
      <c r="D6" s="4">
        <v>10849</v>
      </c>
      <c r="E6" s="4">
        <v>182</v>
      </c>
      <c r="F6" s="4">
        <v>19203</v>
      </c>
      <c r="G6" s="4">
        <v>33790</v>
      </c>
      <c r="H6" s="5">
        <f t="shared" si="1"/>
        <v>64024</v>
      </c>
      <c r="I6">
        <f t="shared" si="2"/>
        <v>1.5619142821441959E-2</v>
      </c>
      <c r="K6" s="4">
        <f t="shared" si="3"/>
        <v>0</v>
      </c>
      <c r="L6" s="4">
        <f t="shared" si="4"/>
        <v>0</v>
      </c>
      <c r="M6" s="4">
        <f t="shared" si="5"/>
        <v>169.45208046982381</v>
      </c>
      <c r="N6" s="4">
        <f t="shared" si="6"/>
        <v>2.8426839935024364</v>
      </c>
      <c r="O6" s="4">
        <f t="shared" si="7"/>
        <v>299.93439960014996</v>
      </c>
      <c r="P6" s="4">
        <f t="shared" si="8"/>
        <v>527.77083593652378</v>
      </c>
      <c r="Q6" s="5">
        <f t="shared" si="9"/>
        <v>1000</v>
      </c>
      <c r="T6" s="3"/>
    </row>
    <row r="7" spans="1:28" x14ac:dyDescent="0.2">
      <c r="K7" s="4"/>
      <c r="L7" s="4"/>
      <c r="M7" s="4"/>
      <c r="N7" s="4"/>
      <c r="O7" s="4"/>
      <c r="P7" s="4"/>
    </row>
    <row r="8" spans="1:28" x14ac:dyDescent="0.2">
      <c r="A8" s="3" t="s">
        <v>19</v>
      </c>
      <c r="B8" s="4">
        <v>46779</v>
      </c>
      <c r="C8" s="4">
        <v>7363</v>
      </c>
      <c r="D8" s="4">
        <v>2072</v>
      </c>
      <c r="E8" s="4">
        <v>1596</v>
      </c>
      <c r="F8" s="4">
        <v>6038</v>
      </c>
      <c r="G8" s="4">
        <v>176</v>
      </c>
      <c r="H8" s="5">
        <f>SUM(D8:G8)</f>
        <v>9882</v>
      </c>
      <c r="I8">
        <f>1000/$H$10</f>
        <v>1.5619142821441959E-2</v>
      </c>
      <c r="K8" s="4">
        <f t="shared" ref="K8:P10" si="10">B8*$I8</f>
        <v>730.64788204423337</v>
      </c>
      <c r="L8" s="4">
        <f t="shared" si="10"/>
        <v>115.00374859427714</v>
      </c>
      <c r="M8" s="4">
        <f t="shared" si="10"/>
        <v>32.362863926027735</v>
      </c>
      <c r="N8" s="4">
        <f t="shared" si="10"/>
        <v>24.928151943021366</v>
      </c>
      <c r="O8" s="4">
        <f t="shared" si="10"/>
        <v>94.308384355866551</v>
      </c>
      <c r="P8" s="4">
        <f t="shared" si="10"/>
        <v>2.7489691365737849</v>
      </c>
      <c r="Q8" s="5">
        <f>SUM(M8:P8)</f>
        <v>154.34836936148943</v>
      </c>
    </row>
    <row r="9" spans="1:28" x14ac:dyDescent="0.2">
      <c r="A9" s="3" t="s">
        <v>20</v>
      </c>
      <c r="B9" s="4">
        <v>28378</v>
      </c>
      <c r="C9" s="4">
        <v>2327</v>
      </c>
      <c r="D9" s="4">
        <v>5754</v>
      </c>
      <c r="E9" s="4">
        <v>2950</v>
      </c>
      <c r="F9" s="4">
        <v>23678</v>
      </c>
      <c r="G9" s="4">
        <v>937</v>
      </c>
      <c r="H9" s="5">
        <f t="shared" ref="H9:H10" si="11">SUM(D9:G9)</f>
        <v>33319</v>
      </c>
      <c r="I9">
        <f t="shared" ref="I9:I10" si="12">1000/$H$10</f>
        <v>1.5619142821441959E-2</v>
      </c>
      <c r="K9" s="4">
        <f t="shared" si="10"/>
        <v>443.24003498687989</v>
      </c>
      <c r="L9" s="4">
        <f t="shared" si="10"/>
        <v>36.345745345495438</v>
      </c>
      <c r="M9" s="4">
        <f t="shared" si="10"/>
        <v>89.872547794577031</v>
      </c>
      <c r="N9" s="4">
        <f t="shared" si="10"/>
        <v>46.076471323253777</v>
      </c>
      <c r="O9" s="4">
        <f t="shared" si="10"/>
        <v>369.83006372610271</v>
      </c>
      <c r="P9" s="4">
        <f t="shared" si="10"/>
        <v>14.635136823691115</v>
      </c>
      <c r="Q9" s="5">
        <f t="shared" ref="Q9:Q10" si="13">SUM(M9:P9)</f>
        <v>520.41421966762459</v>
      </c>
    </row>
    <row r="10" spans="1:28" x14ac:dyDescent="0.2">
      <c r="A10" s="3" t="s">
        <v>21</v>
      </c>
      <c r="B10" s="4">
        <v>0</v>
      </c>
      <c r="C10" s="4">
        <v>0</v>
      </c>
      <c r="D10" s="4">
        <v>9610</v>
      </c>
      <c r="E10" s="4">
        <v>1421</v>
      </c>
      <c r="F10" s="4">
        <v>37532</v>
      </c>
      <c r="G10" s="4">
        <v>15461</v>
      </c>
      <c r="H10" s="5">
        <f t="shared" si="11"/>
        <v>64024</v>
      </c>
      <c r="I10">
        <f t="shared" si="12"/>
        <v>1.5619142821441959E-2</v>
      </c>
      <c r="K10" s="4">
        <f t="shared" si="10"/>
        <v>0</v>
      </c>
      <c r="L10" s="4">
        <f t="shared" si="10"/>
        <v>0</v>
      </c>
      <c r="M10" s="4">
        <f t="shared" si="10"/>
        <v>150.09996251405721</v>
      </c>
      <c r="N10" s="4">
        <f t="shared" si="10"/>
        <v>22.194801949269024</v>
      </c>
      <c r="O10" s="4">
        <f t="shared" si="10"/>
        <v>586.21766837435962</v>
      </c>
      <c r="P10" s="4">
        <f t="shared" si="10"/>
        <v>241.48756716231412</v>
      </c>
      <c r="Q10" s="5">
        <f t="shared" si="13"/>
        <v>1000</v>
      </c>
    </row>
    <row r="11" spans="1:28" x14ac:dyDescent="0.2">
      <c r="A11" s="3"/>
      <c r="B11" s="4"/>
      <c r="C11" s="4"/>
      <c r="D11" s="4"/>
      <c r="E11" s="4"/>
      <c r="F11" s="4"/>
      <c r="G11" s="4"/>
      <c r="H11" s="5"/>
      <c r="K11" s="4"/>
      <c r="L11" s="4"/>
      <c r="M11" s="4"/>
      <c r="N11" s="4"/>
      <c r="O11" s="4"/>
      <c r="P11" s="4"/>
      <c r="Q11" s="5"/>
    </row>
    <row r="12" spans="1:28" x14ac:dyDescent="0.2">
      <c r="A12" s="3"/>
      <c r="B12" s="4"/>
      <c r="C12" s="4"/>
      <c r="D12" s="4"/>
      <c r="E12" s="4"/>
      <c r="F12" s="4"/>
      <c r="G12" s="4"/>
      <c r="H12" s="5"/>
      <c r="K12" s="4"/>
      <c r="L12" s="4"/>
      <c r="M12" s="4"/>
      <c r="N12" s="4"/>
      <c r="O12" s="4"/>
      <c r="P12" s="4"/>
      <c r="Q12" s="5"/>
      <c r="U12" t="s">
        <v>39</v>
      </c>
    </row>
    <row r="13" spans="1:28" x14ac:dyDescent="0.2">
      <c r="A13" s="3"/>
      <c r="B13" s="4"/>
      <c r="C13" s="4"/>
      <c r="D13" s="4"/>
      <c r="E13" s="4"/>
      <c r="F13" s="4"/>
      <c r="G13" s="4"/>
      <c r="H13" s="5"/>
      <c r="K13" s="4"/>
      <c r="L13" s="4"/>
      <c r="M13" s="4"/>
      <c r="N13" s="4"/>
      <c r="O13" s="4"/>
      <c r="P13" s="4"/>
      <c r="Q13" s="5"/>
      <c r="U13" t="s">
        <v>40</v>
      </c>
    </row>
    <row r="14" spans="1:28" x14ac:dyDescent="0.2">
      <c r="A14" s="3"/>
      <c r="B14" s="4"/>
      <c r="C14" s="4"/>
      <c r="D14" s="4"/>
      <c r="E14" s="4"/>
      <c r="F14" s="4"/>
      <c r="G14" s="4"/>
      <c r="H14" s="5"/>
      <c r="K14" s="4"/>
      <c r="L14" s="4"/>
      <c r="M14" s="4"/>
      <c r="N14" s="4"/>
      <c r="O14" s="4"/>
      <c r="P14" s="4"/>
      <c r="Q14" s="5"/>
    </row>
    <row r="15" spans="1:28" x14ac:dyDescent="0.2">
      <c r="A15" s="3"/>
      <c r="B15" s="4"/>
      <c r="C15" s="4"/>
      <c r="D15" s="4"/>
      <c r="E15" s="4"/>
      <c r="F15" s="4"/>
      <c r="G15" s="4"/>
      <c r="H15" s="5"/>
    </row>
    <row r="16" spans="1:28" ht="34" customHeight="1" x14ac:dyDescent="0.2">
      <c r="A16" s="3"/>
      <c r="B16" s="4"/>
      <c r="C16" s="4"/>
      <c r="D16" s="4"/>
      <c r="E16" s="4"/>
      <c r="F16" s="4"/>
      <c r="G16" s="4"/>
      <c r="H16" s="5"/>
      <c r="V16" s="6"/>
      <c r="W16" s="18" t="s">
        <v>9</v>
      </c>
      <c r="X16" s="18"/>
      <c r="Y16" s="17" t="s">
        <v>10</v>
      </c>
      <c r="Z16" s="17"/>
      <c r="AA16" s="17" t="s">
        <v>11</v>
      </c>
      <c r="AB16" s="17"/>
    </row>
    <row r="17" spans="1:28" x14ac:dyDescent="0.2">
      <c r="A17" s="3"/>
      <c r="B17" s="4"/>
      <c r="C17" s="4"/>
      <c r="D17" s="4"/>
      <c r="E17" s="4"/>
      <c r="F17" s="4"/>
      <c r="G17" s="4"/>
      <c r="H17" s="5"/>
      <c r="V17" s="17" t="s">
        <v>0</v>
      </c>
      <c r="W17" t="s">
        <v>12</v>
      </c>
      <c r="X17" t="s">
        <v>13</v>
      </c>
      <c r="Y17" t="s">
        <v>12</v>
      </c>
      <c r="Z17" t="s">
        <v>15</v>
      </c>
      <c r="AA17" t="s">
        <v>12</v>
      </c>
      <c r="AB17" t="s">
        <v>14</v>
      </c>
    </row>
    <row r="18" spans="1:28" x14ac:dyDescent="0.2">
      <c r="A18" s="3"/>
      <c r="B18" s="4"/>
      <c r="C18" s="4"/>
      <c r="D18" s="4"/>
      <c r="E18" s="4"/>
      <c r="F18" s="4"/>
      <c r="G18" s="4"/>
      <c r="H18" s="5"/>
      <c r="V18" s="17"/>
      <c r="W18" s="6"/>
      <c r="X18" s="6"/>
      <c r="Y18" s="6"/>
      <c r="Z18" s="6"/>
      <c r="AA18" s="6"/>
    </row>
    <row r="19" spans="1:28" x14ac:dyDescent="0.2">
      <c r="A19" s="3"/>
      <c r="B19" s="4"/>
      <c r="C19" s="4"/>
      <c r="D19" s="4"/>
      <c r="E19" s="4"/>
      <c r="F19" s="4"/>
      <c r="G19" s="4"/>
      <c r="H19" s="5"/>
      <c r="V19" s="7" t="s">
        <v>16</v>
      </c>
      <c r="W19" s="6">
        <v>14229</v>
      </c>
      <c r="X19" s="10">
        <f>W19/H4</f>
        <v>1.4398907103825136</v>
      </c>
      <c r="Y19" s="6">
        <v>0</v>
      </c>
      <c r="Z19" s="10">
        <f>Y19/F4</f>
        <v>0</v>
      </c>
      <c r="AA19" s="6">
        <v>300</v>
      </c>
      <c r="AB19" s="10">
        <f>AA19/D4</f>
        <v>0.11838989739542226</v>
      </c>
    </row>
    <row r="20" spans="1:28" x14ac:dyDescent="0.2">
      <c r="A20" s="3"/>
      <c r="B20" s="4"/>
      <c r="C20" s="4"/>
      <c r="D20" s="4"/>
      <c r="E20" s="4"/>
      <c r="F20" s="4"/>
      <c r="G20" s="4"/>
      <c r="H20" s="5"/>
      <c r="V20" s="7" t="s">
        <v>17</v>
      </c>
      <c r="W20" s="6">
        <v>40827</v>
      </c>
      <c r="X20" s="10">
        <f>W20/H5</f>
        <v>1.2253368948647918</v>
      </c>
      <c r="Y20" s="6">
        <v>0</v>
      </c>
      <c r="Z20" s="10">
        <f>Y20/F5</f>
        <v>0</v>
      </c>
      <c r="AA20" s="6">
        <v>1551</v>
      </c>
      <c r="AB20" s="10">
        <f>AA20/D5</f>
        <v>0.23514251061249242</v>
      </c>
    </row>
    <row r="21" spans="1:28" x14ac:dyDescent="0.2">
      <c r="A21" s="3"/>
      <c r="B21" s="4"/>
      <c r="C21" s="4"/>
      <c r="D21" s="4"/>
      <c r="E21" s="4"/>
      <c r="F21" s="4"/>
      <c r="G21" s="4"/>
      <c r="H21" s="5"/>
      <c r="V21" s="7" t="s">
        <v>18</v>
      </c>
      <c r="W21" s="6">
        <v>26472</v>
      </c>
      <c r="X21" s="10">
        <f>W21/H6</f>
        <v>0.41346994876921156</v>
      </c>
      <c r="Y21" s="6">
        <v>0</v>
      </c>
      <c r="Z21" s="10">
        <f>Y21/F6</f>
        <v>0</v>
      </c>
      <c r="AA21" s="6">
        <v>1279</v>
      </c>
      <c r="AB21" s="10">
        <f>AA21/D6</f>
        <v>0.11789104986634713</v>
      </c>
    </row>
    <row r="22" spans="1:28" x14ac:dyDescent="0.2">
      <c r="A22" s="2"/>
      <c r="B22" s="2"/>
      <c r="C22" s="2"/>
      <c r="D22" s="2"/>
      <c r="E22" s="2"/>
      <c r="F22" s="2"/>
      <c r="G22" s="2"/>
      <c r="H22" s="2"/>
      <c r="X22" s="10"/>
      <c r="Z22" s="10"/>
      <c r="AB22" s="10"/>
    </row>
    <row r="23" spans="1:28" x14ac:dyDescent="0.2">
      <c r="V23" s="3" t="s">
        <v>19</v>
      </c>
      <c r="W23" s="6">
        <v>13937</v>
      </c>
      <c r="X23" s="10">
        <f>W23/H8</f>
        <v>1.4103420360250962</v>
      </c>
      <c r="Y23" s="6">
        <v>9</v>
      </c>
      <c r="Z23" s="10">
        <f>Y23/F8</f>
        <v>1.4905597880092746E-3</v>
      </c>
      <c r="AA23" s="6">
        <v>821</v>
      </c>
      <c r="AB23" s="10">
        <f>AA23/D8</f>
        <v>0.39623552123552125</v>
      </c>
    </row>
    <row r="24" spans="1:28" x14ac:dyDescent="0.2">
      <c r="V24" s="3" t="s">
        <v>20</v>
      </c>
      <c r="W24" s="6">
        <v>37977</v>
      </c>
      <c r="X24" s="10">
        <f t="shared" ref="X24:X25" si="14">W24/H9</f>
        <v>1.139800114049041</v>
      </c>
      <c r="Y24" s="6">
        <v>272</v>
      </c>
      <c r="Z24" s="10">
        <f t="shared" ref="Z24:Z25" si="15">Y24/F9</f>
        <v>1.148745671087085E-2</v>
      </c>
      <c r="AA24" s="6">
        <v>5157</v>
      </c>
      <c r="AB24" s="10">
        <f t="shared" ref="AB24:AB25" si="16">AA24/D9</f>
        <v>0.89624608967674657</v>
      </c>
    </row>
    <row r="25" spans="1:28" x14ac:dyDescent="0.2">
      <c r="V25" s="3" t="s">
        <v>21</v>
      </c>
      <c r="W25" s="6">
        <v>45583</v>
      </c>
      <c r="X25" s="10">
        <f t="shared" si="14"/>
        <v>0.71196738722978881</v>
      </c>
      <c r="Y25" s="6">
        <v>15153</v>
      </c>
      <c r="Z25" s="10">
        <f t="shared" si="15"/>
        <v>0.40373547905787061</v>
      </c>
      <c r="AA25" s="6">
        <v>11036</v>
      </c>
      <c r="AB25" s="10">
        <f t="shared" si="16"/>
        <v>1.1483870967741936</v>
      </c>
    </row>
    <row r="26" spans="1:28" x14ac:dyDescent="0.2">
      <c r="V26" s="7"/>
      <c r="W26" s="6"/>
      <c r="X26" s="8"/>
      <c r="Y26" s="6"/>
      <c r="Z26" s="9"/>
      <c r="AA26" s="6"/>
      <c r="AB26" s="9"/>
    </row>
    <row r="27" spans="1:28" x14ac:dyDescent="0.2">
      <c r="U27">
        <f>1 - 0.92^15</f>
        <v>0.7137025959297949</v>
      </c>
    </row>
    <row r="30" spans="1:28" x14ac:dyDescent="0.2">
      <c r="V30" s="6"/>
      <c r="W30" s="6"/>
      <c r="X30" s="6"/>
      <c r="Y30" s="6"/>
      <c r="Z30" s="6"/>
      <c r="AA30" s="6"/>
    </row>
    <row r="47" spans="17:17" x14ac:dyDescent="0.2">
      <c r="Q47" t="s">
        <v>29</v>
      </c>
    </row>
    <row r="48" spans="17:17" x14ac:dyDescent="0.2">
      <c r="Q48" t="s">
        <v>30</v>
      </c>
    </row>
    <row r="50" spans="17:17" x14ac:dyDescent="0.2">
      <c r="Q50" t="s">
        <v>31</v>
      </c>
    </row>
    <row r="51" spans="17:17" x14ac:dyDescent="0.2">
      <c r="Q51" t="s">
        <v>32</v>
      </c>
    </row>
    <row r="52" spans="17:17" x14ac:dyDescent="0.2">
      <c r="Q52" t="s">
        <v>33</v>
      </c>
    </row>
    <row r="54" spans="17:17" x14ac:dyDescent="0.2">
      <c r="Q54" t="s">
        <v>34</v>
      </c>
    </row>
    <row r="55" spans="17:17" x14ac:dyDescent="0.2">
      <c r="Q55" t="s">
        <v>35</v>
      </c>
    </row>
    <row r="56" spans="17:17" x14ac:dyDescent="0.2">
      <c r="Q56" t="s">
        <v>36</v>
      </c>
    </row>
    <row r="57" spans="17:17" x14ac:dyDescent="0.2">
      <c r="Q57" t="s">
        <v>37</v>
      </c>
    </row>
    <row r="58" spans="17:17" x14ac:dyDescent="0.2">
      <c r="Q58" t="s">
        <v>38</v>
      </c>
    </row>
  </sheetData>
  <mergeCells count="4">
    <mergeCell ref="V17:V18"/>
    <mergeCell ref="W16:X16"/>
    <mergeCell ref="Y16:Z16"/>
    <mergeCell ref="AA16:AB16"/>
  </mergeCells>
  <pageMargins left="0.7" right="0.7" top="0.75" bottom="0.75" header="0.3" footer="0.3"/>
  <ignoredErrors>
    <ignoredError sqref="H4" formulaRange="1"/>
  </ignoredError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5CE7-C46A-C644-AC2C-7E9348F5C066}">
  <dimension ref="A1:P17"/>
  <sheetViews>
    <sheetView zoomScale="140" zoomScaleNormal="140" workbookViewId="0">
      <selection activeCell="H7" sqref="H7"/>
    </sheetView>
  </sheetViews>
  <sheetFormatPr baseColWidth="10" defaultRowHeight="16" x14ac:dyDescent="0.2"/>
  <cols>
    <col min="1" max="1" width="18.6640625" style="6" customWidth="1"/>
    <col min="2" max="8" width="10.83203125" style="6"/>
    <col min="9" max="10" width="4.5" style="6" customWidth="1"/>
    <col min="11" max="16384" width="10.83203125" style="6"/>
  </cols>
  <sheetData>
    <row r="1" spans="1:16" x14ac:dyDescent="0.2">
      <c r="A1" s="14" t="s">
        <v>27</v>
      </c>
      <c r="I1" s="14"/>
      <c r="K1" s="14" t="s">
        <v>22</v>
      </c>
    </row>
    <row r="2" spans="1:16" x14ac:dyDescent="0.2">
      <c r="A2" s="7" t="s">
        <v>23</v>
      </c>
      <c r="B2" s="7" t="s">
        <v>4</v>
      </c>
      <c r="C2" s="7" t="s">
        <v>5</v>
      </c>
      <c r="D2" s="7" t="s">
        <v>6</v>
      </c>
      <c r="E2" s="7" t="s">
        <v>7</v>
      </c>
      <c r="F2" s="7" t="s">
        <v>1</v>
      </c>
      <c r="G2" s="15" t="s">
        <v>8</v>
      </c>
      <c r="K2" s="7" t="s">
        <v>4</v>
      </c>
      <c r="L2" s="7" t="s">
        <v>5</v>
      </c>
      <c r="M2" s="7" t="s">
        <v>6</v>
      </c>
      <c r="N2" s="7" t="s">
        <v>7</v>
      </c>
      <c r="O2" s="7" t="s">
        <v>1</v>
      </c>
      <c r="P2" s="13"/>
    </row>
    <row r="3" spans="1:16" x14ac:dyDescent="0.2">
      <c r="A3" s="7" t="s">
        <v>24</v>
      </c>
      <c r="G3" s="16"/>
    </row>
    <row r="4" spans="1:16" x14ac:dyDescent="0.2">
      <c r="A4" s="12">
        <v>0</v>
      </c>
      <c r="B4" s="4">
        <v>928</v>
      </c>
      <c r="C4" s="4">
        <v>38</v>
      </c>
      <c r="D4" s="4">
        <v>1859</v>
      </c>
      <c r="E4" s="4">
        <v>5253</v>
      </c>
      <c r="F4" s="4">
        <f t="shared" ref="F4" si="0">SUM(B4:E4)</f>
        <v>8078</v>
      </c>
      <c r="G4" s="16">
        <f>1000/F4</f>
        <v>0.12379301807378064</v>
      </c>
      <c r="I4" s="6">
        <v>0</v>
      </c>
      <c r="J4" s="6">
        <v>0</v>
      </c>
      <c r="K4" s="4">
        <f>B4*$G4</f>
        <v>114.87992077246844</v>
      </c>
      <c r="L4" s="4">
        <f>C4*$G4</f>
        <v>4.7041346868036644</v>
      </c>
      <c r="M4" s="4">
        <f>D4*$G4</f>
        <v>230.13122059915821</v>
      </c>
      <c r="N4" s="4">
        <f>E4*$G4</f>
        <v>650.28472394156972</v>
      </c>
      <c r="O4" s="4">
        <f t="shared" ref="O4" si="1">SUM(K4:N4)</f>
        <v>1000</v>
      </c>
    </row>
    <row r="5" spans="1:16" x14ac:dyDescent="0.2">
      <c r="A5" s="12">
        <v>0.1</v>
      </c>
      <c r="B5" s="6">
        <v>940</v>
      </c>
      <c r="C5" s="6">
        <v>47</v>
      </c>
      <c r="D5" s="6">
        <v>2142</v>
      </c>
      <c r="E5" s="6">
        <v>4949</v>
      </c>
      <c r="F5" s="4">
        <f t="shared" ref="F5:F14" si="2">SUM(B5:E5)</f>
        <v>8078</v>
      </c>
      <c r="G5" s="16">
        <f t="shared" ref="G5:G17" si="3">1000/F5</f>
        <v>0.12379301807378064</v>
      </c>
      <c r="I5" s="6">
        <v>0</v>
      </c>
      <c r="J5" s="6">
        <v>0</v>
      </c>
      <c r="K5" s="4">
        <f t="shared" ref="K5:K14" si="4">B5*$G5</f>
        <v>116.3654369893538</v>
      </c>
      <c r="L5" s="4">
        <f t="shared" ref="L5:L14" si="5">C5*$G5</f>
        <v>5.8182718494676902</v>
      </c>
      <c r="M5" s="4">
        <f t="shared" ref="M5:M14" si="6">D5*$G5</f>
        <v>265.1646447140381</v>
      </c>
      <c r="N5" s="4">
        <f t="shared" ref="N5:N14" si="7">E5*$G5</f>
        <v>612.65164644714037</v>
      </c>
      <c r="O5" s="4">
        <f t="shared" ref="O5:O14" si="8">SUM(K5:N5)</f>
        <v>1000</v>
      </c>
    </row>
    <row r="6" spans="1:16" x14ac:dyDescent="0.2">
      <c r="A6" s="12">
        <v>0.2</v>
      </c>
      <c r="B6" s="6">
        <v>960</v>
      </c>
      <c r="C6" s="6">
        <v>52</v>
      </c>
      <c r="D6" s="6">
        <v>2427</v>
      </c>
      <c r="E6" s="6">
        <v>4639</v>
      </c>
      <c r="F6" s="4">
        <f t="shared" si="2"/>
        <v>8078</v>
      </c>
      <c r="G6" s="16">
        <f t="shared" si="3"/>
        <v>0.12379301807378064</v>
      </c>
      <c r="I6" s="6">
        <v>0</v>
      </c>
      <c r="J6" s="6">
        <v>0</v>
      </c>
      <c r="K6" s="4">
        <f t="shared" si="4"/>
        <v>118.84129735082941</v>
      </c>
      <c r="L6" s="4">
        <f t="shared" si="5"/>
        <v>6.437236939836593</v>
      </c>
      <c r="M6" s="4">
        <f t="shared" si="6"/>
        <v>300.44565486506559</v>
      </c>
      <c r="N6" s="4">
        <f t="shared" si="7"/>
        <v>574.27581084426834</v>
      </c>
      <c r="O6" s="4">
        <f t="shared" si="8"/>
        <v>1000</v>
      </c>
    </row>
    <row r="7" spans="1:16" x14ac:dyDescent="0.2">
      <c r="A7" s="12">
        <v>0.3</v>
      </c>
      <c r="B7" s="6">
        <v>960</v>
      </c>
      <c r="C7" s="6">
        <v>77</v>
      </c>
      <c r="D7" s="6">
        <v>2792</v>
      </c>
      <c r="E7" s="6">
        <v>4249</v>
      </c>
      <c r="F7" s="4">
        <f t="shared" si="2"/>
        <v>8078</v>
      </c>
      <c r="G7" s="16">
        <f t="shared" si="3"/>
        <v>0.12379301807378064</v>
      </c>
      <c r="I7" s="6">
        <v>0</v>
      </c>
      <c r="J7" s="6">
        <v>0</v>
      </c>
      <c r="K7" s="4">
        <f t="shared" si="4"/>
        <v>118.84129735082941</v>
      </c>
      <c r="L7" s="4">
        <f t="shared" si="5"/>
        <v>9.5320623916811087</v>
      </c>
      <c r="M7" s="4">
        <f t="shared" si="6"/>
        <v>345.63010646199552</v>
      </c>
      <c r="N7" s="4">
        <f t="shared" si="7"/>
        <v>525.99653379549397</v>
      </c>
      <c r="O7" s="4">
        <f t="shared" si="8"/>
        <v>1000</v>
      </c>
    </row>
    <row r="8" spans="1:16" x14ac:dyDescent="0.2">
      <c r="A8" s="12">
        <v>0.4</v>
      </c>
      <c r="B8" s="6">
        <v>982</v>
      </c>
      <c r="C8" s="6">
        <v>80</v>
      </c>
      <c r="D8" s="6">
        <v>3033</v>
      </c>
      <c r="E8" s="6">
        <v>3983</v>
      </c>
      <c r="F8" s="4">
        <f t="shared" si="2"/>
        <v>8078</v>
      </c>
      <c r="G8" s="16">
        <f t="shared" si="3"/>
        <v>0.12379301807378064</v>
      </c>
      <c r="I8" s="6">
        <v>0</v>
      </c>
      <c r="J8" s="6">
        <v>0</v>
      </c>
      <c r="K8" s="4">
        <f t="shared" si="4"/>
        <v>121.56474374845259</v>
      </c>
      <c r="L8" s="4">
        <f t="shared" si="5"/>
        <v>9.9034414459024518</v>
      </c>
      <c r="M8" s="4">
        <f t="shared" si="6"/>
        <v>375.46422381777666</v>
      </c>
      <c r="N8" s="4">
        <f t="shared" si="7"/>
        <v>493.0675909878683</v>
      </c>
      <c r="O8" s="4">
        <f t="shared" si="8"/>
        <v>1000</v>
      </c>
    </row>
    <row r="9" spans="1:16" x14ac:dyDescent="0.2">
      <c r="A9" s="12">
        <v>0.5</v>
      </c>
      <c r="B9" s="6">
        <v>994</v>
      </c>
      <c r="C9" s="6">
        <v>102</v>
      </c>
      <c r="D9" s="6">
        <v>3353</v>
      </c>
      <c r="E9" s="6">
        <v>3629</v>
      </c>
      <c r="F9" s="4">
        <f t="shared" si="2"/>
        <v>8078</v>
      </c>
      <c r="G9" s="16">
        <f t="shared" si="3"/>
        <v>0.12379301807378064</v>
      </c>
      <c r="I9" s="6">
        <v>0</v>
      </c>
      <c r="J9" s="6">
        <v>0</v>
      </c>
      <c r="K9" s="4">
        <f t="shared" si="4"/>
        <v>123.05025996533796</v>
      </c>
      <c r="L9" s="4">
        <f t="shared" si="5"/>
        <v>12.626887843525624</v>
      </c>
      <c r="M9" s="4">
        <f t="shared" si="6"/>
        <v>415.07798960138649</v>
      </c>
      <c r="N9" s="4">
        <f t="shared" si="7"/>
        <v>449.24486258974991</v>
      </c>
      <c r="O9" s="4">
        <f t="shared" si="8"/>
        <v>1000</v>
      </c>
    </row>
    <row r="10" spans="1:16" x14ac:dyDescent="0.2">
      <c r="A10" s="12">
        <v>0.6</v>
      </c>
      <c r="B10" s="6">
        <v>1024</v>
      </c>
      <c r="C10" s="6">
        <v>105</v>
      </c>
      <c r="D10" s="6">
        <v>3631</v>
      </c>
      <c r="E10" s="6">
        <v>3318</v>
      </c>
      <c r="F10" s="4">
        <f t="shared" si="2"/>
        <v>8078</v>
      </c>
      <c r="G10" s="16">
        <f t="shared" si="3"/>
        <v>0.12379301807378064</v>
      </c>
      <c r="I10" s="6">
        <v>0</v>
      </c>
      <c r="J10" s="6">
        <v>0</v>
      </c>
      <c r="K10" s="4">
        <f t="shared" si="4"/>
        <v>126.76405050755137</v>
      </c>
      <c r="L10" s="4">
        <f t="shared" si="5"/>
        <v>12.998266897746968</v>
      </c>
      <c r="M10" s="4">
        <f t="shared" si="6"/>
        <v>449.49244862589751</v>
      </c>
      <c r="N10" s="4">
        <f t="shared" si="7"/>
        <v>410.74523396880414</v>
      </c>
      <c r="O10" s="4">
        <f t="shared" si="8"/>
        <v>1000</v>
      </c>
    </row>
    <row r="11" spans="1:16" x14ac:dyDescent="0.2">
      <c r="A11" s="12">
        <v>0.7</v>
      </c>
      <c r="B11" s="6">
        <v>1039</v>
      </c>
      <c r="C11" s="6">
        <v>123</v>
      </c>
      <c r="D11" s="6">
        <v>3867</v>
      </c>
      <c r="E11" s="6">
        <v>3049</v>
      </c>
      <c r="F11" s="4">
        <f t="shared" si="2"/>
        <v>8078</v>
      </c>
      <c r="G11" s="16">
        <f t="shared" si="3"/>
        <v>0.12379301807378064</v>
      </c>
      <c r="I11" s="6">
        <v>0</v>
      </c>
      <c r="J11" s="6">
        <v>0</v>
      </c>
      <c r="K11" s="4">
        <f t="shared" si="4"/>
        <v>128.6209457786581</v>
      </c>
      <c r="L11" s="4">
        <f t="shared" si="5"/>
        <v>15.226541223075019</v>
      </c>
      <c r="M11" s="4">
        <f t="shared" si="6"/>
        <v>478.70760089130971</v>
      </c>
      <c r="N11" s="4">
        <f t="shared" si="7"/>
        <v>377.44491210695719</v>
      </c>
      <c r="O11" s="4">
        <f t="shared" si="8"/>
        <v>1000</v>
      </c>
    </row>
    <row r="12" spans="1:16" x14ac:dyDescent="0.2">
      <c r="A12" s="12">
        <v>0.8</v>
      </c>
      <c r="B12" s="6">
        <v>1067</v>
      </c>
      <c r="C12" s="6">
        <v>145</v>
      </c>
      <c r="D12" s="6">
        <v>4235</v>
      </c>
      <c r="E12" s="6">
        <v>2631</v>
      </c>
      <c r="F12" s="4">
        <f t="shared" si="2"/>
        <v>8078</v>
      </c>
      <c r="G12" s="16">
        <f t="shared" si="3"/>
        <v>0.12379301807378064</v>
      </c>
      <c r="I12" s="6">
        <v>0</v>
      </c>
      <c r="J12" s="6">
        <v>0</v>
      </c>
      <c r="K12" s="4">
        <f t="shared" si="4"/>
        <v>132.08715028472395</v>
      </c>
      <c r="L12" s="4">
        <f t="shared" si="5"/>
        <v>17.949987620698192</v>
      </c>
      <c r="M12" s="4">
        <f t="shared" si="6"/>
        <v>524.26343154246103</v>
      </c>
      <c r="N12" s="4">
        <f t="shared" si="7"/>
        <v>325.69943055211684</v>
      </c>
      <c r="O12" s="4">
        <f t="shared" si="8"/>
        <v>1000</v>
      </c>
    </row>
    <row r="13" spans="1:16" x14ac:dyDescent="0.2">
      <c r="A13" s="12">
        <v>0.9</v>
      </c>
      <c r="B13" s="6">
        <v>1084</v>
      </c>
      <c r="C13" s="6">
        <v>157</v>
      </c>
      <c r="D13" s="6">
        <v>4580</v>
      </c>
      <c r="E13" s="6">
        <v>2257</v>
      </c>
      <c r="F13" s="4">
        <f t="shared" si="2"/>
        <v>8078</v>
      </c>
      <c r="G13" s="16">
        <f t="shared" si="3"/>
        <v>0.12379301807378064</v>
      </c>
      <c r="I13" s="6">
        <v>0</v>
      </c>
      <c r="J13" s="6">
        <v>0</v>
      </c>
      <c r="K13" s="4">
        <f t="shared" si="4"/>
        <v>134.19163159197822</v>
      </c>
      <c r="L13" s="4">
        <f t="shared" si="5"/>
        <v>19.43550383758356</v>
      </c>
      <c r="M13" s="4">
        <f t="shared" si="6"/>
        <v>566.9720227779153</v>
      </c>
      <c r="N13" s="4">
        <f t="shared" si="7"/>
        <v>279.4008417925229</v>
      </c>
      <c r="O13" s="4">
        <f t="shared" si="8"/>
        <v>1000</v>
      </c>
    </row>
    <row r="14" spans="1:16" x14ac:dyDescent="0.2">
      <c r="A14" s="12">
        <v>1</v>
      </c>
      <c r="B14" s="6">
        <v>1109</v>
      </c>
      <c r="C14" s="6">
        <v>185</v>
      </c>
      <c r="D14" s="6">
        <v>4893</v>
      </c>
      <c r="E14" s="6">
        <v>1891</v>
      </c>
      <c r="F14" s="4">
        <f t="shared" si="2"/>
        <v>8078</v>
      </c>
      <c r="G14" s="16">
        <f t="shared" si="3"/>
        <v>0.12379301807378064</v>
      </c>
      <c r="I14" s="6">
        <v>0</v>
      </c>
      <c r="J14" s="6">
        <v>0</v>
      </c>
      <c r="K14" s="4">
        <f t="shared" si="4"/>
        <v>137.28645704382274</v>
      </c>
      <c r="L14" s="4">
        <f t="shared" si="5"/>
        <v>22.901708343649418</v>
      </c>
      <c r="M14" s="4">
        <f t="shared" si="6"/>
        <v>605.71923743500872</v>
      </c>
      <c r="N14" s="4">
        <f t="shared" si="7"/>
        <v>234.0925971775192</v>
      </c>
      <c r="O14" s="4">
        <f t="shared" si="8"/>
        <v>1000.0000000000001</v>
      </c>
    </row>
    <row r="15" spans="1:16" x14ac:dyDescent="0.2">
      <c r="A15" s="7"/>
      <c r="G15" s="16"/>
    </row>
    <row r="16" spans="1:16" x14ac:dyDescent="0.2">
      <c r="A16" s="7" t="s">
        <v>25</v>
      </c>
      <c r="B16" s="6">
        <v>928</v>
      </c>
      <c r="C16" s="6">
        <v>38</v>
      </c>
      <c r="D16" s="6">
        <v>1859</v>
      </c>
      <c r="E16" s="6">
        <v>5253</v>
      </c>
      <c r="F16" s="4">
        <f t="shared" ref="F16:F17" si="9">SUM(B16:E16)</f>
        <v>8078</v>
      </c>
      <c r="G16" s="16">
        <f t="shared" si="3"/>
        <v>0.12379301807378064</v>
      </c>
      <c r="I16" s="6">
        <v>0</v>
      </c>
      <c r="J16" s="6">
        <v>0</v>
      </c>
      <c r="K16" s="4">
        <f t="shared" ref="K16:K17" si="10">B16*$G16</f>
        <v>114.87992077246844</v>
      </c>
      <c r="L16" s="4">
        <f t="shared" ref="L16:L17" si="11">C16*$G16</f>
        <v>4.7041346868036644</v>
      </c>
      <c r="M16" s="4">
        <f t="shared" ref="M16:M17" si="12">D16*$G16</f>
        <v>230.13122059915821</v>
      </c>
      <c r="N16" s="4">
        <f t="shared" ref="N16:N17" si="13">E16*$G16</f>
        <v>650.28472394156972</v>
      </c>
      <c r="O16" s="4">
        <f t="shared" ref="O16:O17" si="14">SUM(K16:N16)</f>
        <v>1000</v>
      </c>
    </row>
    <row r="17" spans="1:15" ht="34" x14ac:dyDescent="0.2">
      <c r="A17" s="11" t="s">
        <v>28</v>
      </c>
      <c r="B17" s="6">
        <v>2371</v>
      </c>
      <c r="C17" s="6">
        <v>341</v>
      </c>
      <c r="D17" s="6">
        <v>3885</v>
      </c>
      <c r="E17" s="6">
        <v>1481</v>
      </c>
      <c r="F17" s="4">
        <f t="shared" si="9"/>
        <v>8078</v>
      </c>
      <c r="G17" s="16">
        <f t="shared" si="3"/>
        <v>0.12379301807378064</v>
      </c>
      <c r="I17" s="6">
        <v>0</v>
      </c>
      <c r="J17" s="6">
        <v>0</v>
      </c>
      <c r="K17" s="4">
        <f t="shared" si="10"/>
        <v>293.51324585293389</v>
      </c>
      <c r="L17" s="4">
        <f t="shared" si="11"/>
        <v>42.213419163159195</v>
      </c>
      <c r="M17" s="4">
        <f t="shared" si="12"/>
        <v>480.93587521663778</v>
      </c>
      <c r="N17" s="4">
        <f t="shared" si="13"/>
        <v>183.33745976726914</v>
      </c>
      <c r="O17" s="4">
        <f t="shared" si="14"/>
        <v>1000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Sigal</dc:creator>
  <cp:lastModifiedBy>Maya, Sigal</cp:lastModifiedBy>
  <dcterms:created xsi:type="dcterms:W3CDTF">2025-08-25T21:02:29Z</dcterms:created>
  <dcterms:modified xsi:type="dcterms:W3CDTF">2025-10-20T23:35:30Z</dcterms:modified>
</cp:coreProperties>
</file>